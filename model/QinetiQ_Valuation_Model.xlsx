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ver" sheetId="1" state="visible" r:id="rId1"/>
    <sheet name="Historical Summary" sheetId="2" state="visible" r:id="rId2"/>
    <sheet name="Segments" sheetId="3" state="visible" r:id="rId3"/>
    <sheet name="Statements" sheetId="4" state="visible" r:id="rId4"/>
    <sheet name="Sources" sheetId="5" state="visible" r:id="rId5"/>
    <sheet name="Forecast" sheetId="6" state="visible" r:id="rId6"/>
  </sheets>
  <definedNames>
    <definedName name="_xlnm._FilterDatabase" localSheetId="5" hidden="1">'Forecast'!$A$14:$G$23</definedName>
    <definedName name="_xlnm.Print_Area" localSheetId="5">'Forecast'!$A$1:$G$27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;(#,##0.0);-"/>
    <numFmt numFmtId="166" formatCode="0.0%;(0.0%);-"/>
    <numFmt numFmtId="167" formatCode="0.0x"/>
    <numFmt numFmtId="168" formatCode="0.00;(0.00);0.00"/>
    <numFmt numFmtId="169" formatCode="0.00;(0.00);-"/>
    <numFmt numFmtId="170" formatCode="0.0%"/>
    <numFmt numFmtId="171" formatCode="#,##0.0;[Red](#,##0.0);-"/>
    <numFmt numFmtId="172" formatCode="0.0;[Red](0.0);-"/>
  </numFmts>
  <fonts count="23">
    <font>
      <name val="Carlito"/>
      <sz val="11"/>
    </font>
    <font>
      <name val="Arial"/>
      <color rgb="FF222222"/>
      <sz val="10"/>
    </font>
    <font>
      <name val="Arial"/>
      <b val="1"/>
      <color rgb="FF17365D"/>
      <sz val="16"/>
    </font>
    <font>
      <name val="Arial"/>
      <b val="1"/>
      <color rgb="FF17365D"/>
      <sz val="10"/>
    </font>
    <font>
      <name val="Arial"/>
      <b val="1"/>
      <color rgb="FFFFFFFF"/>
      <sz val="10"/>
    </font>
    <font>
      <name val="Arial"/>
      <color rgb="FF0000FF"/>
      <sz val="10"/>
    </font>
    <font>
      <name val="Arial"/>
      <color rgb="FF008000"/>
      <sz val="10"/>
    </font>
    <font>
      <name val="Arial"/>
      <b val="1"/>
      <color rgb="FF17365D"/>
      <sz val="15"/>
    </font>
    <font>
      <name val="Arial"/>
      <i val="1"/>
      <color rgb="FF666666"/>
      <sz val="9"/>
    </font>
    <font>
      <name val="Arial"/>
      <b val="1"/>
      <color rgb="FF222222"/>
      <sz val="10"/>
    </font>
    <font>
      <name val="Arial"/>
      <i val="1"/>
      <color rgb="FF222222"/>
      <sz val="10"/>
    </font>
    <font>
      <name val="Arial"/>
      <color rgb="FF666666"/>
      <sz val="9"/>
    </font>
    <font>
      <name val="Arial"/>
      <b val="1"/>
      <color rgb="FF0000FF"/>
      <sz val="10"/>
    </font>
    <font>
      <name val="Arial"/>
      <color rgb="FF222222"/>
      <sz val="10"/>
    </font>
    <font>
      <name val="Arial"/>
      <b val="1"/>
      <color rgb="FF1F4E78"/>
      <sz val="10"/>
    </font>
    <font>
      <name val="Arial"/>
      <color rgb="FF222222"/>
      <sz val="10"/>
    </font>
    <font>
      <b val="1"/>
      <color rgb="00FFFFFF"/>
      <sz val="14"/>
    </font>
    <font>
      <i val="1"/>
      <color rgb="00666666"/>
      <sz val="10"/>
    </font>
    <font>
      <b val="1"/>
      <color rgb="00FFFFFF"/>
    </font>
    <font>
      <color rgb="000000FF"/>
    </font>
    <font>
      <b val="1"/>
      <color rgb="0017365D"/>
    </font>
    <font>
      <i val="1"/>
      <color rgb="00666666"/>
      <sz val="9"/>
    </font>
    <font>
      <b val="1"/>
      <color rgb="00000000"/>
    </font>
  </fonts>
  <fills count="15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0017365D"/>
      </patternFill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11">
    <border/>
    <border>
      <bottom style="medium">
        <color rgb="FF4472C4"/>
      </bottom>
    </border>
    <border>
      <bottom style="thin">
        <color rgb="FF4472C4"/>
      </bottom>
    </border>
    <border>
      <bottom style="thin">
        <color rgb="FFE7E6E6"/>
      </bottom>
    </border>
    <border>
      <right style="thin">
        <color rgb="FFFFFFFF"/>
      </right>
    </border>
    <border>
      <left style="thin">
        <color rgb="FFFFFFFF"/>
      </left>
    </border>
    <border>
      <top style="thin">
        <color rgb="FFE7E6E6"/>
      </top>
      <bottom style="thin">
        <color rgb="FFE7E6E6"/>
      </bottom>
    </border>
    <border>
      <top style="thin">
        <color rgb="FFE7E6E6"/>
      </top>
    </border>
    <border>
      <left style="thin">
        <color rgb="FFFFFFFF"/>
      </left>
      <right style="thin">
        <color rgb="FFFFFFFF"/>
      </right>
    </border>
    <border>
      <top style="thin">
        <color rgb="FFD9E2F3"/>
      </top>
    </border>
    <border>
      <bottom style="thin">
        <color rgb="00B7C9D6"/>
      </bottom>
    </border>
  </borders>
  <cellStyleXfs count="1">
    <xf numFmtId="0" fontId="0" fillId="0" borderId="0"/>
  </cellStyleXfs>
  <cellXfs count="1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1" fillId="2" borderId="0" pivotButton="0" quotePrefix="0" xfId="0"/>
    <xf numFmtId="0" fontId="3" fillId="2" borderId="0" pivotButton="0" quotePrefix="0" xfId="0"/>
    <xf numFmtId="0" fontId="3" fillId="2" borderId="2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 wrapText="1"/>
    </xf>
    <xf numFmtId="0" fontId="1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164" fontId="1" fillId="0" borderId="0" pivotButton="0" quotePrefix="0" xfId="0"/>
    <xf numFmtId="0" fontId="1" fillId="0" borderId="3" pivotButton="0" quotePrefix="0" xfId="0"/>
    <xf numFmtId="0" fontId="1" fillId="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3" borderId="5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6" pivotButton="0" quotePrefix="0" xfId="0"/>
    <xf numFmtId="0" fontId="1" fillId="0" borderId="6" pivotButton="0" quotePrefix="0" xfId="0"/>
    <xf numFmtId="0" fontId="3" fillId="0" borderId="7" pivotButton="0" quotePrefix="0" xfId="0"/>
    <xf numFmtId="0" fontId="1" fillId="0" borderId="7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0" borderId="2" pivotButton="0" quotePrefix="0" xfId="0"/>
    <xf numFmtId="0" fontId="8" fillId="0" borderId="0" pivotButton="0" quotePrefix="0" xfId="0"/>
    <xf numFmtId="0" fontId="4" fillId="3" borderId="8" applyAlignment="1" pivotButton="0" quotePrefix="0" xfId="0">
      <alignment horizontal="center" vertical="center"/>
    </xf>
    <xf numFmtId="0" fontId="1" fillId="4" borderId="0" pivotButton="0" quotePrefix="0" xfId="0"/>
    <xf numFmtId="0" fontId="9" fillId="4" borderId="0" pivotButton="0" quotePrefix="0" xfId="0"/>
    <xf numFmtId="0" fontId="9" fillId="4" borderId="0" applyAlignment="1" pivotButton="0" quotePrefix="0" xfId="0">
      <alignment horizontal="center"/>
    </xf>
    <xf numFmtId="0" fontId="10" fillId="0" borderId="0" pivotButton="0" quotePrefix="0" xfId="0"/>
    <xf numFmtId="165" fontId="5" fillId="0" borderId="0" pivotButton="0" quotePrefix="0" xfId="0"/>
    <xf numFmtId="166" fontId="10" fillId="0" borderId="0" pivotButton="0" quotePrefix="0" xfId="0"/>
    <xf numFmtId="167" fontId="10" fillId="0" borderId="0" pivotButton="0" quotePrefix="0" xfId="0"/>
    <xf numFmtId="0" fontId="11" fillId="0" borderId="0" pivotButton="0" quotePrefix="0" xfId="0"/>
    <xf numFmtId="168" fontId="6" fillId="0" borderId="0" pivotButton="0" quotePrefix="0" xfId="0"/>
    <xf numFmtId="168" fontId="6" fillId="0" borderId="3" pivotButton="0" quotePrefix="0" xfId="0"/>
    <xf numFmtId="168" fontId="6" fillId="0" borderId="7" pivotButton="0" quotePrefix="0" xfId="0"/>
    <xf numFmtId="165" fontId="1" fillId="0" borderId="0" pivotButton="0" quotePrefix="0" xfId="0"/>
    <xf numFmtId="0" fontId="1" fillId="5" borderId="0" pivotButton="0" quotePrefix="0" xfId="0"/>
    <xf numFmtId="0" fontId="5" fillId="5" borderId="0" pivotButton="0" quotePrefix="0" xfId="0"/>
    <xf numFmtId="0" fontId="9" fillId="0" borderId="0" pivotButton="0" quotePrefix="0" xfId="0"/>
    <xf numFmtId="165" fontId="5" fillId="5" borderId="0" pivotButton="0" quotePrefix="0" xfId="0"/>
    <xf numFmtId="165" fontId="3" fillId="2" borderId="2" pivotButton="0" quotePrefix="0" xfId="0"/>
    <xf numFmtId="165" fontId="9" fillId="0" borderId="0" pivotButton="0" quotePrefix="0" xfId="0"/>
    <xf numFmtId="168" fontId="9" fillId="0" borderId="0" pivotButton="0" quotePrefix="0" xfId="0"/>
    <xf numFmtId="0" fontId="3" fillId="0" borderId="0" applyAlignment="1" pivotButton="0" quotePrefix="0" xfId="0">
      <alignment wrapText="1"/>
    </xf>
    <xf numFmtId="164" fontId="1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166" fontId="10" fillId="0" borderId="0" applyAlignment="1" pivotButton="0" quotePrefix="0" xfId="0">
      <alignment vertical="center"/>
    </xf>
    <xf numFmtId="167" fontId="10" fillId="0" borderId="0" applyAlignment="1" pivotButton="0" quotePrefix="0" xfId="0">
      <alignment vertical="center"/>
    </xf>
    <xf numFmtId="0" fontId="3" fillId="2" borderId="2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168" fontId="6" fillId="0" borderId="3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6" fillId="0" borderId="7" applyAlignment="1" pivotButton="0" quotePrefix="0" xfId="0">
      <alignment vertical="center"/>
    </xf>
    <xf numFmtId="0" fontId="4" fillId="3" borderId="8" applyAlignment="1" pivotButton="0" quotePrefix="0" xfId="0">
      <alignment horizontal="right" vertical="center"/>
    </xf>
    <xf numFmtId="0" fontId="4" fillId="3" borderId="5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167" fontId="10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0" fontId="3" fillId="2" borderId="2" applyAlignment="1" pivotButton="0" quotePrefix="0" xfId="0">
      <alignment horizontal="right" vertical="center"/>
    </xf>
    <xf numFmtId="0" fontId="1" fillId="0" borderId="3" applyAlignment="1" pivotButton="0" quotePrefix="0" xfId="0">
      <alignment horizontal="right" vertical="center"/>
    </xf>
    <xf numFmtId="168" fontId="6" fillId="0" borderId="3" applyAlignment="1" pivotButton="0" quotePrefix="0" xfId="0">
      <alignment horizontal="right" vertical="center"/>
    </xf>
    <xf numFmtId="0" fontId="1" fillId="0" borderId="7" applyAlignment="1" pivotButton="0" quotePrefix="0" xfId="0">
      <alignment horizontal="right" vertical="center"/>
    </xf>
    <xf numFmtId="168" fontId="6" fillId="0" borderId="7" applyAlignment="1" pivotButton="0" quotePrefix="0" xfId="0">
      <alignment horizontal="right" vertical="center"/>
    </xf>
    <xf numFmtId="165" fontId="1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5" fontId="1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right" vertical="center"/>
    </xf>
    <xf numFmtId="165" fontId="5" fillId="5" borderId="0" applyAlignment="1" pivotButton="0" quotePrefix="0" xfId="0">
      <alignment vertical="center"/>
    </xf>
    <xf numFmtId="165" fontId="3" fillId="2" borderId="2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168" fontId="9" fillId="0" borderId="0" applyAlignment="1" pivotButton="0" quotePrefix="0" xfId="0">
      <alignment vertical="center"/>
    </xf>
    <xf numFmtId="165" fontId="5" fillId="5" borderId="0" applyAlignment="1" pivotButton="0" quotePrefix="0" xfId="0">
      <alignment horizontal="right" vertical="center"/>
    </xf>
    <xf numFmtId="165" fontId="3" fillId="2" borderId="2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5" fontId="5" fillId="6" borderId="0" applyAlignment="1" pivotButton="0" quotePrefix="0" xfId="0">
      <alignment horizontal="right" vertical="center"/>
    </xf>
    <xf numFmtId="165" fontId="1" fillId="6" borderId="0" applyAlignment="1" pivotButton="0" quotePrefix="0" xfId="0">
      <alignment horizontal="right" vertical="center"/>
    </xf>
    <xf numFmtId="165" fontId="3" fillId="6" borderId="2" applyAlignment="1" pivotButton="0" quotePrefix="0" xfId="0">
      <alignment horizontal="right" vertical="center"/>
    </xf>
    <xf numFmtId="168" fontId="9" fillId="6" borderId="0" applyAlignment="1" pivotButton="0" quotePrefix="0" xfId="0">
      <alignment horizontal="right" vertical="center"/>
    </xf>
    <xf numFmtId="0" fontId="1" fillId="6" borderId="0" applyAlignment="1" pivotButton="0" quotePrefix="0" xfId="0">
      <alignment horizontal="right" vertical="center"/>
    </xf>
    <xf numFmtId="165" fontId="12" fillId="6" borderId="2" applyAlignment="1" pivotButton="0" quotePrefix="0" xfId="0">
      <alignment horizontal="right" vertical="center"/>
    </xf>
    <xf numFmtId="168" fontId="12" fillId="6" borderId="0" applyAlignment="1" pivotButton="0" quotePrefix="0" xfId="0">
      <alignment horizontal="right" vertical="center"/>
    </xf>
    <xf numFmtId="0" fontId="5" fillId="6" borderId="0" applyAlignment="1" pivotButton="0" quotePrefix="0" xfId="0">
      <alignment horizontal="right" vertical="center"/>
    </xf>
    <xf numFmtId="165" fontId="9" fillId="6" borderId="0" applyAlignment="1" pivotButton="0" quotePrefix="0" xfId="0">
      <alignment horizontal="right" vertical="center"/>
    </xf>
    <xf numFmtId="165" fontId="13" fillId="6" borderId="0" applyAlignment="1" pivotButton="0" quotePrefix="0" xfId="0">
      <alignment horizontal="right" vertical="center"/>
    </xf>
    <xf numFmtId="0" fontId="9" fillId="6" borderId="0" applyAlignment="1" pivotButton="0" quotePrefix="0" xfId="0">
      <alignment horizontal="right" vertical="center"/>
    </xf>
    <xf numFmtId="0" fontId="1" fillId="0" borderId="9" applyAlignment="1" pivotButton="0" quotePrefix="0" xfId="0">
      <alignment vertical="center"/>
    </xf>
    <xf numFmtId="165" fontId="9" fillId="6" borderId="9" applyAlignment="1" pivotButton="0" quotePrefix="0" xfId="0">
      <alignment horizontal="right" vertical="center"/>
    </xf>
    <xf numFmtId="0" fontId="9" fillId="0" borderId="9" applyAlignment="1" pivotButton="0" quotePrefix="0" xfId="0">
      <alignment vertical="center"/>
    </xf>
    <xf numFmtId="165" fontId="5" fillId="6" borderId="9" applyAlignment="1" pivotButton="0" quotePrefix="0" xfId="0">
      <alignment horizontal="right" vertical="center"/>
    </xf>
    <xf numFmtId="168" fontId="9" fillId="6" borderId="9" applyAlignment="1" pivotButton="0" quotePrefix="0" xfId="0">
      <alignment horizontal="right" vertical="center"/>
    </xf>
    <xf numFmtId="0" fontId="14" fillId="0" borderId="9" applyAlignment="1" pivotButton="0" quotePrefix="0" xfId="0">
      <alignment vertical="center"/>
    </xf>
    <xf numFmtId="168" fontId="14" fillId="6" borderId="9" applyAlignment="1" pivotButton="0" quotePrefix="0" xfId="0">
      <alignment horizontal="right" vertical="center"/>
    </xf>
    <xf numFmtId="0" fontId="9" fillId="6" borderId="9" applyAlignment="1" pivotButton="0" quotePrefix="0" xfId="0">
      <alignment horizontal="right" vertical="center"/>
    </xf>
    <xf numFmtId="0" fontId="14" fillId="6" borderId="9" applyAlignment="1" pivotButton="0" quotePrefix="0" xfId="0">
      <alignment horizontal="right" vertical="center"/>
    </xf>
    <xf numFmtId="165" fontId="14" fillId="6" borderId="9" applyAlignment="1" pivotButton="0" quotePrefix="0" xfId="0">
      <alignment horizontal="right" vertical="center"/>
    </xf>
    <xf numFmtId="169" fontId="14" fillId="6" borderId="9" applyAlignment="1" pivotButton="0" quotePrefix="0" xfId="0">
      <alignment horizontal="right" vertical="center"/>
    </xf>
    <xf numFmtId="0" fontId="1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0" fontId="14" fillId="7" borderId="0" applyAlignment="1" pivotButton="0" quotePrefix="0" xfId="0">
      <alignment vertical="center" wrapText="1"/>
    </xf>
    <xf numFmtId="0" fontId="1" fillId="7" borderId="0" applyAlignment="1" pivotButton="0" quotePrefix="0" xfId="0">
      <alignment vertical="center" wrapText="1"/>
    </xf>
    <xf numFmtId="164" fontId="1" fillId="7" borderId="0" applyAlignment="1" pivotButton="0" quotePrefix="0" xfId="0">
      <alignment vertical="center" wrapText="1"/>
    </xf>
    <xf numFmtId="165" fontId="5" fillId="8" borderId="0" applyAlignment="1" pivotButton="0" quotePrefix="0" xfId="0">
      <alignment horizontal="right" vertical="center"/>
    </xf>
    <xf numFmtId="165" fontId="9" fillId="8" borderId="9" applyAlignment="1" pivotButton="0" quotePrefix="0" xfId="0">
      <alignment horizontal="right" vertical="center"/>
    </xf>
    <xf numFmtId="165" fontId="12" fillId="8" borderId="2" applyAlignment="1" pivotButton="0" quotePrefix="0" xfId="0">
      <alignment horizontal="right" vertical="center"/>
    </xf>
    <xf numFmtId="169" fontId="14" fillId="8" borderId="9" applyAlignment="1" pivotButton="0" quotePrefix="0" xfId="0">
      <alignment horizontal="right" vertical="center"/>
    </xf>
    <xf numFmtId="165" fontId="1" fillId="8" borderId="0" applyAlignment="1" pivotButton="0" quotePrefix="0" xfId="0">
      <alignment horizontal="right" vertical="center"/>
    </xf>
    <xf numFmtId="165" fontId="12" fillId="8" borderId="9" applyAlignment="1" pivotButton="0" quotePrefix="0" xfId="0">
      <alignment horizontal="right" vertical="center"/>
    </xf>
    <xf numFmtId="169" fontId="12" fillId="8" borderId="9" applyAlignment="1" pivotButton="0" quotePrefix="0" xfId="0">
      <alignment horizontal="right" vertical="center"/>
    </xf>
    <xf numFmtId="169" fontId="9" fillId="8" borderId="9" applyAlignment="1" pivotButton="0" quotePrefix="0" xfId="0">
      <alignment horizontal="right" vertical="center"/>
    </xf>
    <xf numFmtId="165" fontId="15" fillId="8" borderId="0" applyAlignment="1" pivotButton="0" quotePrefix="0" xfId="0">
      <alignment horizontal="right" vertical="center"/>
    </xf>
    <xf numFmtId="165" fontId="14" fillId="8" borderId="9" applyAlignment="1" pivotButton="0" quotePrefix="0" xfId="0">
      <alignment horizontal="right" vertical="center"/>
    </xf>
    <xf numFmtId="0" fontId="14" fillId="9" borderId="0" applyAlignment="1" pivotButton="0" quotePrefix="0" xfId="0">
      <alignment vertical="center" wrapText="1"/>
    </xf>
    <xf numFmtId="0" fontId="1" fillId="9" borderId="0" applyAlignment="1" pivotButton="0" quotePrefix="0" xfId="0">
      <alignment vertical="center" wrapText="1"/>
    </xf>
    <xf numFmtId="164" fontId="1" fillId="9" borderId="0" applyAlignment="1" pivotButton="0" quotePrefix="0" xfId="0">
      <alignment vertical="center" wrapText="1"/>
    </xf>
    <xf numFmtId="0" fontId="12" fillId="9" borderId="0" applyAlignment="1" pivotButton="0" quotePrefix="0" xfId="0">
      <alignment vertical="center" wrapText="1"/>
    </xf>
    <xf numFmtId="0" fontId="5" fillId="9" borderId="0" applyAlignment="1" pivotButton="0" quotePrefix="0" xfId="0">
      <alignment vertical="center" wrapText="1"/>
    </xf>
    <xf numFmtId="164" fontId="5" fillId="9" borderId="0" applyAlignment="1" pivotButton="0" quotePrefix="0" xfId="0">
      <alignment vertical="center" wrapText="1"/>
    </xf>
    <xf numFmtId="164" fontId="1" fillId="0" borderId="0" pivotButton="0" quotePrefix="0" xfId="0"/>
    <xf numFmtId="165" fontId="5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167" fontId="10" fillId="0" borderId="0" applyAlignment="1" pivotButton="0" quotePrefix="0" xfId="0">
      <alignment horizontal="right" vertical="center"/>
    </xf>
    <xf numFmtId="168" fontId="6" fillId="0" borderId="3" applyAlignment="1" pivotButton="0" quotePrefix="0" xfId="0">
      <alignment horizontal="right" vertical="center"/>
    </xf>
    <xf numFmtId="168" fontId="6" fillId="0" borderId="7" applyAlignment="1" pivotButton="0" quotePrefix="0" xfId="0">
      <alignment horizontal="right" vertical="center"/>
    </xf>
    <xf numFmtId="165" fontId="1" fillId="0" borderId="0" applyAlignment="1" pivotButton="0" quotePrefix="0" xfId="0">
      <alignment horizontal="right" vertical="center"/>
    </xf>
    <xf numFmtId="165" fontId="5" fillId="8" borderId="0" applyAlignment="1" pivotButton="0" quotePrefix="0" xfId="0">
      <alignment horizontal="right" vertical="center"/>
    </xf>
    <xf numFmtId="165" fontId="9" fillId="8" borderId="9" applyAlignment="1" pivotButton="0" quotePrefix="0" xfId="0">
      <alignment horizontal="right" vertical="center"/>
    </xf>
    <xf numFmtId="165" fontId="12" fillId="8" borderId="2" applyAlignment="1" pivotButton="0" quotePrefix="0" xfId="0">
      <alignment horizontal="right" vertical="center"/>
    </xf>
    <xf numFmtId="169" fontId="14" fillId="8" borderId="9" applyAlignment="1" pivotButton="0" quotePrefix="0" xfId="0">
      <alignment horizontal="right" vertical="center"/>
    </xf>
    <xf numFmtId="165" fontId="15" fillId="8" borderId="0" applyAlignment="1" pivotButton="0" quotePrefix="0" xfId="0">
      <alignment horizontal="right" vertical="center"/>
    </xf>
    <xf numFmtId="164" fontId="1" fillId="0" borderId="0" applyAlignment="1" pivotButton="0" quotePrefix="0" xfId="0">
      <alignment wrapText="1"/>
    </xf>
    <xf numFmtId="164" fontId="1" fillId="9" borderId="0" applyAlignment="1" pivotButton="0" quotePrefix="0" xfId="0">
      <alignment vertical="center" wrapText="1"/>
    </xf>
    <xf numFmtId="0" fontId="16" fillId="10" borderId="0" applyAlignment="1" pivotButton="0" quotePrefix="0" xfId="0">
      <alignment horizontal="left" vertical="center"/>
    </xf>
    <xf numFmtId="0" fontId="17" fillId="0" borderId="0" pivotButton="0" quotePrefix="0" xfId="0"/>
    <xf numFmtId="0" fontId="18" fillId="11" borderId="0" pivotButton="0" quotePrefix="0" xfId="0"/>
    <xf numFmtId="0" fontId="20" fillId="13" borderId="10" applyAlignment="1" pivotButton="0" quotePrefix="0" xfId="0">
      <alignment horizontal="left"/>
    </xf>
    <xf numFmtId="0" fontId="20" fillId="13" borderId="10" applyAlignment="1" pivotButton="0" quotePrefix="0" xfId="0">
      <alignment horizontal="center"/>
    </xf>
    <xf numFmtId="0" fontId="0" fillId="0" borderId="10" pivotButton="0" quotePrefix="0" xfId="0"/>
    <xf numFmtId="170" fontId="19" fillId="12" borderId="10" pivotButton="0" quotePrefix="0" xfId="0"/>
    <xf numFmtId="0" fontId="21" fillId="0" borderId="0" applyAlignment="1" pivotButton="0" quotePrefix="0" xfId="0">
      <alignment wrapText="1"/>
    </xf>
    <xf numFmtId="171" fontId="19" fillId="12" borderId="10" pivotButton="0" quotePrefix="0" xfId="0"/>
    <xf numFmtId="171" fontId="0" fillId="0" borderId="10" pivotButton="0" quotePrefix="0" xfId="0"/>
    <xf numFmtId="0" fontId="22" fillId="0" borderId="10" pivotButton="0" quotePrefix="0" xfId="0"/>
    <xf numFmtId="171" fontId="22" fillId="0" borderId="10" pivotButton="0" quotePrefix="0" xfId="0"/>
    <xf numFmtId="170" fontId="0" fillId="0" borderId="10" pivotButton="0" quotePrefix="0" xfId="0"/>
    <xf numFmtId="170" fontId="22" fillId="0" borderId="10" pivotButton="0" quotePrefix="0" xfId="0"/>
    <xf numFmtId="172" fontId="0" fillId="14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Base-case assumption from research/forecast_assumptions.md</t>
      </text>
    </comment>
    <comment ref="C6" authorId="0" shapeId="0">
      <text>
        <t>Base-case assumption from research/forecast_assumptions.md</t>
      </text>
    </comment>
    <comment ref="D6" authorId="0" shapeId="0">
      <text>
        <t>Base-case assumption from research/forecast_assumptions.md</t>
      </text>
    </comment>
    <comment ref="E6" authorId="0" shapeId="0">
      <text>
        <t>Base-case assumption from research/forecast_assumptions.md</t>
      </text>
    </comment>
    <comment ref="F6" authorId="0" shapeId="0">
      <text>
        <t>Base-case assumption from research/forecast_assumptions.md</t>
      </text>
    </comment>
    <comment ref="B7" authorId="0" shapeId="0">
      <text>
        <t>Base-case assumption from research/forecast_assumptions.md</t>
      </text>
    </comment>
    <comment ref="C7" authorId="0" shapeId="0">
      <text>
        <t>Base-case assumption from research/forecast_assumptions.md</t>
      </text>
    </comment>
    <comment ref="D7" authorId="0" shapeId="0">
      <text>
        <t>Base-case assumption from research/forecast_assumptions.md</t>
      </text>
    </comment>
    <comment ref="E7" authorId="0" shapeId="0">
      <text>
        <t>Base-case assumption from research/forecast_assumptions.md</t>
      </text>
    </comment>
    <comment ref="F7" authorId="0" shapeId="0">
      <text>
        <t>Base-case assumption from research/forecast_assumptions.md</t>
      </text>
    </comment>
    <comment ref="B8" authorId="0" shapeId="0">
      <text>
        <t>Base-case assumption from research/forecast_assumptions.md</t>
      </text>
    </comment>
    <comment ref="C8" authorId="0" shapeId="0">
      <text>
        <t>Base-case assumption from research/forecast_assumptions.md</t>
      </text>
    </comment>
    <comment ref="D8" authorId="0" shapeId="0">
      <text>
        <t>Base-case assumption from research/forecast_assumptions.md</t>
      </text>
    </comment>
    <comment ref="E8" authorId="0" shapeId="0">
      <text>
        <t>Base-case assumption from research/forecast_assumptions.md</t>
      </text>
    </comment>
    <comment ref="F8" authorId="0" shapeId="0">
      <text>
        <t>Base-case assumption from research/forecast_assumptions.md</t>
      </text>
    </comment>
    <comment ref="B9" authorId="0" shapeId="0">
      <text>
        <t>Base-case assumption from research/forecast_assumptions.md</t>
      </text>
    </comment>
    <comment ref="C9" authorId="0" shapeId="0">
      <text>
        <t>Base-case assumption from research/forecast_assumptions.md</t>
      </text>
    </comment>
    <comment ref="D9" authorId="0" shapeId="0">
      <text>
        <t>Base-case assumption from research/forecast_assumptions.md</t>
      </text>
    </comment>
    <comment ref="E9" authorId="0" shapeId="0">
      <text>
        <t>Base-case assumption from research/forecast_assumptions.md</t>
      </text>
    </comment>
    <comment ref="F9" authorId="0" shapeId="0">
      <text>
        <t>Base-case assumption from research/forecast_assumptions.md</t>
      </text>
    </comment>
    <comment ref="B15" authorId="0" shapeId="0">
      <text>
        <t>FY26A segment revenue starting point.</t>
      </text>
    </comment>
    <comment ref="B16" authorId="0" shapeId="0">
      <text>
        <t>FY26A segment revenue starting point.</t>
      </text>
    </comment>
  </commentList>
</comment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17365D"/>
    <outlinePr summaryBelow="1" summaryRight="1"/>
    <pageSetUpPr/>
  </sheetPr>
  <dimension ref="A1:Z1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8" customWidth="1" min="3" max="3"/>
    <col width="60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1" t="n"/>
      <c r="B3" s="1" t="n"/>
      <c r="C3" s="2" t="inlineStr">
        <is>
          <t>QinetiQ Valuation and US Strategic Review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1" t="n"/>
      <c r="B4" s="1" t="n"/>
      <c r="C4" s="3" t="n"/>
      <c r="D4" s="3" t="n"/>
      <c r="E4" s="3" t="n"/>
      <c r="F4" s="3" t="n"/>
      <c r="G4" s="3" t="n"/>
      <c r="H4" s="3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1" t="n"/>
      <c r="B6" s="1" t="n"/>
      <c r="C6" s="6" t="inlineStr">
        <is>
          <t>Project question</t>
        </is>
      </c>
      <c r="D6" s="6" t="n"/>
      <c r="E6" s="6" t="n"/>
      <c r="F6" s="6" t="n"/>
      <c r="G6" s="6" t="n"/>
      <c r="H6" s="6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24" customHeight="1">
      <c r="A7" s="1" t="n"/>
      <c r="B7" s="1" t="n"/>
      <c r="C7" s="9" t="inlineStr">
        <is>
          <t>What is QinetiQ worth, and should management retain, restructure or sell the US business?</t>
        </is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4" customHeight="1">
      <c r="A8" s="1" t="n"/>
      <c r="B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1" t="n"/>
      <c r="B10" s="1" t="n"/>
      <c r="C10" s="10" t="inlineStr">
        <is>
          <t>Version</t>
        </is>
      </c>
      <c r="D10" s="1" t="inlineStr">
        <is>
          <t>0.2</t>
        </is>
      </c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1" t="n"/>
      <c r="B11" s="1" t="n"/>
      <c r="C11" s="10" t="inlineStr">
        <is>
          <t>As of</t>
        </is>
      </c>
      <c r="D11" s="129" t="n">
        <v>46279</v>
      </c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1" t="n"/>
      <c r="B12" s="1" t="n"/>
      <c r="C12" s="10" t="inlineStr">
        <is>
          <t>Current stage</t>
        </is>
      </c>
      <c r="D12" s="1" t="inlineStr">
        <is>
          <t>Audited historical statements complete</t>
        </is>
      </c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1" t="n"/>
      <c r="B13" s="1" t="n"/>
      <c r="C13" s="10" t="inlineStr">
        <is>
          <t>Units</t>
        </is>
      </c>
      <c r="D13" s="12" t="inlineStr">
        <is>
          <t>£m except per-share data</t>
        </is>
      </c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1" t="n"/>
      <c r="B15" s="1" t="n"/>
      <c r="C15" s="6" t="inlineStr">
        <is>
          <t>Financial-year definition</t>
        </is>
      </c>
      <c r="D15" s="6" t="n"/>
      <c r="E15" s="6" t="n"/>
      <c r="F15" s="6" t="n"/>
      <c r="G15" s="6" t="n"/>
      <c r="H15" s="6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4" customHeight="1">
      <c r="A16" s="1" t="n"/>
      <c r="B16" s="1" t="n"/>
      <c r="C16" s="9" t="inlineStr">
        <is>
          <t>FY means financial year. QinetiQ's FY26 is the 12 months ended 31 March 2026, covering 1 April 2025 to 31 March 2026.</t>
        </is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24" customHeight="1">
      <c r="A17" s="1" t="n"/>
      <c r="B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2" customHeight="1">
      <c r="A19" s="1" t="n"/>
      <c r="B19" s="1" t="n"/>
      <c r="C19" s="17" t="inlineStr">
        <is>
          <t>Sheet</t>
        </is>
      </c>
      <c r="D19" s="18" t="inlineStr">
        <is>
          <t>Purpose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1" t="n"/>
      <c r="B20" s="1" t="n"/>
      <c r="C20" s="19" t="inlineStr">
        <is>
          <t>Historical Summary</t>
        </is>
      </c>
      <c r="D20" s="12" t="inlineStr">
        <is>
          <t>Five-year headline financial and operating trends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A21" s="1" t="n"/>
      <c r="B21" s="1" t="n"/>
      <c r="C21" s="20" t="inlineStr">
        <is>
          <t>Segments</t>
        </is>
      </c>
      <c r="D21" s="21" t="inlineStr">
        <is>
          <t>EMEA Services and Global Solutions performance</t>
        </is>
      </c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A22" s="1" t="n"/>
      <c r="B22" s="1" t="n"/>
      <c r="C22" s="20" t="inlineStr">
        <is>
          <t>Statements</t>
        </is>
      </c>
      <c r="D22" s="21" t="inlineStr">
        <is>
          <t>Detailed income statement, balance sheet and cash-flow inputs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A23" s="1" t="n"/>
      <c r="B23" s="1" t="n"/>
      <c r="C23" s="22" t="inlineStr">
        <is>
          <t>Sources</t>
        </is>
      </c>
      <c r="D23" s="23" t="inlineStr">
        <is>
          <t>Documents, links and page references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>
      <c r="A26" s="1" t="n"/>
      <c r="B26" s="1" t="n"/>
      <c r="C26" s="6" t="inlineStr">
        <is>
          <t>Modelling conventions</t>
        </is>
      </c>
      <c r="D26" s="6" t="n"/>
      <c r="E26" s="6" t="n"/>
      <c r="F26" s="6" t="n"/>
      <c r="G26" s="6" t="n"/>
      <c r="H26" s="6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>
      <c r="A27" s="1" t="n"/>
      <c r="B27" s="1" t="n"/>
      <c r="C27" s="24" t="inlineStr">
        <is>
          <t>Blue font: hardcoded source input</t>
        </is>
      </c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>
      <c r="A28" s="1" t="n"/>
      <c r="B28" s="1" t="n"/>
      <c r="C28" s="1" t="inlineStr">
        <is>
          <t>Black font: same-sheet formula</t>
        </is>
      </c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>
      <c r="A29" s="1" t="n"/>
      <c r="B29" s="1" t="n"/>
      <c r="C29" s="25" t="inlineStr">
        <is>
          <t>Green font: cross-sheet link</t>
        </is>
      </c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>
      <c r="A30" s="1" t="n"/>
      <c r="B30" s="1" t="n"/>
      <c r="C30" s="1" t="inlineStr">
        <is>
          <t>Yellow fill: source input still required</t>
        </is>
      </c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</sheetData>
  <mergeCells count="2">
    <mergeCell ref="C7:H8"/>
    <mergeCell ref="C16:H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1F4E78"/>
    <outlinePr summaryBelow="1" summaryRight="1"/>
    <pageSetUpPr/>
  </sheetPr>
  <dimension ref="A1:Z100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3" customWidth="1" min="1" max="1"/>
    <col width="3" customWidth="1" min="2" max="2"/>
    <col width="3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42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1" t="n"/>
      <c r="B2" s="1" t="n"/>
      <c r="C2" s="26" t="inlineStr">
        <is>
          <t>Historical Summary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1" t="n"/>
      <c r="B3" s="1" t="n"/>
      <c r="C3" s="27" t="n"/>
      <c r="D3" s="27" t="n"/>
      <c r="E3" s="27" t="n"/>
      <c r="F3" s="27" t="n"/>
      <c r="G3" s="27" t="n"/>
      <c r="H3" s="27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1" t="n"/>
      <c r="B4" s="1" t="n"/>
      <c r="C4" s="28" t="inlineStr">
        <is>
          <t>FY22-FY26 actual results; £m except EPS and ratios</t>
        </is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2" customHeight="1">
      <c r="A6" s="1" t="n"/>
      <c r="B6" s="1" t="n"/>
      <c r="C6" s="17" t="inlineStr">
        <is>
          <t>Metric</t>
        </is>
      </c>
      <c r="D6" s="29" t="inlineStr">
        <is>
          <t>FY22</t>
        </is>
      </c>
      <c r="E6" s="29" t="inlineStr">
        <is>
          <t>FY23</t>
        </is>
      </c>
      <c r="F6" s="29" t="inlineStr">
        <is>
          <t>FY24</t>
        </is>
      </c>
      <c r="G6" s="29" t="inlineStr">
        <is>
          <t>FY25</t>
        </is>
      </c>
      <c r="H6" s="18" t="inlineStr">
        <is>
          <t>FY26</t>
        </is>
      </c>
      <c r="I6" s="1" t="n"/>
      <c r="J6" s="32" t="inlineStr">
        <is>
          <t>Source / note</t>
        </is>
      </c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1" t="n"/>
      <c r="B7" s="1" t="n"/>
      <c r="C7" s="52" t="inlineStr">
        <is>
          <t>Revenue</t>
        </is>
      </c>
      <c r="D7" s="130" t="n">
        <v>1320.4</v>
      </c>
      <c r="E7" s="130" t="n">
        <v>1580.7</v>
      </c>
      <c r="F7" s="130" t="n">
        <v>1912.1</v>
      </c>
      <c r="G7" s="130" t="n">
        <v>1931.6</v>
      </c>
      <c r="H7" s="130" t="n">
        <v>1922.6</v>
      </c>
      <c r="I7" s="1" t="n"/>
      <c r="J7" s="37" t="inlineStr">
        <is>
          <t>S006, p.216</t>
        </is>
      </c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1" t="n"/>
      <c r="B8" s="1" t="n"/>
      <c r="C8" s="54" t="inlineStr">
        <is>
          <t xml:space="preserve">  Revenue growth</t>
        </is>
      </c>
      <c r="D8" s="131" t="n"/>
      <c r="E8" s="131">
        <f>E7/D7-1</f>
        <v/>
      </c>
      <c r="F8" s="131">
        <f>F7/E7-1</f>
        <v/>
      </c>
      <c r="G8" s="131">
        <f>G7/F7-1</f>
        <v/>
      </c>
      <c r="H8" s="131">
        <f>H7/G7-1</f>
        <v/>
      </c>
      <c r="I8" s="1" t="n"/>
      <c r="J8" s="37" t="inlineStr">
        <is>
          <t>Calculated</t>
        </is>
      </c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1" t="n"/>
      <c r="B9" s="1" t="n"/>
      <c r="C9" s="52" t="inlineStr">
        <is>
          <t>Segment operating profit</t>
        </is>
      </c>
      <c r="D9" s="130" t="n">
        <v>137.4</v>
      </c>
      <c r="E9" s="130" t="n">
        <v>178.9</v>
      </c>
      <c r="F9" s="130" t="n">
        <v>215.2</v>
      </c>
      <c r="G9" s="130" t="n">
        <v>185.4</v>
      </c>
      <c r="H9" s="130" t="n">
        <v>217.9</v>
      </c>
      <c r="I9" s="1" t="n"/>
      <c r="J9" s="37" t="inlineStr">
        <is>
          <t>S006, p.216</t>
        </is>
      </c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1" t="n"/>
      <c r="B10" s="1" t="n"/>
      <c r="C10" s="54" t="inlineStr">
        <is>
          <t xml:space="preserve">  Segment operating margin</t>
        </is>
      </c>
      <c r="D10" s="131">
        <f>D9/D7</f>
        <v/>
      </c>
      <c r="E10" s="131">
        <f>E9/E7</f>
        <v/>
      </c>
      <c r="F10" s="131">
        <f>F9/F7</f>
        <v/>
      </c>
      <c r="G10" s="131">
        <f>G9/G7</f>
        <v/>
      </c>
      <c r="H10" s="131">
        <f>H9/H7</f>
        <v/>
      </c>
      <c r="I10" s="1" t="n"/>
      <c r="J10" s="37" t="inlineStr">
        <is>
          <t>Calculated</t>
        </is>
      </c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1" t="n"/>
      <c r="B11" s="1" t="n"/>
      <c r="C11" s="52" t="inlineStr">
        <is>
          <t>Underlying EPS (p)</t>
        </is>
      </c>
      <c r="D11" s="130" t="n">
        <v>20.6</v>
      </c>
      <c r="E11" s="130" t="n">
        <v>26.5</v>
      </c>
      <c r="F11" s="130" t="n">
        <v>29.4</v>
      </c>
      <c r="G11" s="130" t="n">
        <v>26.1</v>
      </c>
      <c r="H11" s="130" t="n">
        <v>31.5</v>
      </c>
      <c r="I11" s="1" t="n"/>
      <c r="J11" s="37" t="inlineStr">
        <is>
          <t>S006, p.216</t>
        </is>
      </c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1" t="n"/>
      <c r="B12" s="1" t="n"/>
      <c r="C12" s="52" t="inlineStr">
        <is>
          <t>Underlying net cash flow from operations</t>
        </is>
      </c>
      <c r="D12" s="130" t="n">
        <v>220.7</v>
      </c>
      <c r="E12" s="130" t="n">
        <v>270.1</v>
      </c>
      <c r="F12" s="130" t="n">
        <v>320.2</v>
      </c>
      <c r="G12" s="130" t="n">
        <v>316.2</v>
      </c>
      <c r="H12" s="130" t="n">
        <v>343.2</v>
      </c>
      <c r="I12" s="1" t="n"/>
      <c r="J12" s="37" t="inlineStr">
        <is>
          <t>S006, p.216</t>
        </is>
      </c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1" t="n"/>
      <c r="B13" s="1" t="n"/>
      <c r="C13" s="52" t="inlineStr">
        <is>
          <t>Net cash/(debt)</t>
        </is>
      </c>
      <c r="D13" s="130" t="n">
        <v>225.1</v>
      </c>
      <c r="E13" s="130" t="n">
        <v>-206.9</v>
      </c>
      <c r="F13" s="130" t="n">
        <v>-151.2</v>
      </c>
      <c r="G13" s="130" t="n">
        <v>-133.2</v>
      </c>
      <c r="H13" s="130" t="n">
        <v>-159.1</v>
      </c>
      <c r="I13" s="1" t="n"/>
      <c r="J13" s="37" t="inlineStr">
        <is>
          <t>S006, p.216</t>
        </is>
      </c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1" t="n"/>
      <c r="B14" s="1" t="n"/>
      <c r="C14" s="52" t="inlineStr">
        <is>
          <t>Orders excluding LTPA amendments/extensions</t>
        </is>
      </c>
      <c r="D14" s="130" t="n">
        <v>1226.6</v>
      </c>
      <c r="E14" s="130" t="n">
        <v>1724.1</v>
      </c>
      <c r="F14" s="130" t="n">
        <v>1740.4</v>
      </c>
      <c r="G14" s="130" t="n">
        <v>1954.8</v>
      </c>
      <c r="H14" s="130" t="n">
        <v>1864</v>
      </c>
      <c r="I14" s="1" t="n"/>
      <c r="J14" s="37" t="inlineStr">
        <is>
          <t>S006, p.216</t>
        </is>
      </c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1" t="n"/>
      <c r="B15" s="1" t="n"/>
      <c r="C15" s="54" t="inlineStr">
        <is>
          <t xml:space="preserve">  Orders/revenue</t>
        </is>
      </c>
      <c r="D15" s="132">
        <f>D14/D7</f>
        <v/>
      </c>
      <c r="E15" s="132">
        <f>E14/E7</f>
        <v/>
      </c>
      <c r="F15" s="132">
        <f>F14/F7</f>
        <v/>
      </c>
      <c r="G15" s="132">
        <f>G14/G7</f>
        <v/>
      </c>
      <c r="H15" s="132">
        <f>H14/H7</f>
        <v/>
      </c>
      <c r="I15" s="1" t="n"/>
      <c r="J15" s="37" t="inlineStr">
        <is>
          <t>Calculated; not management's adjusted book-to-bill</t>
        </is>
      </c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1" t="n"/>
      <c r="B16" s="1" t="n"/>
      <c r="C16" s="52" t="inlineStr">
        <is>
          <t>Funded order backlog</t>
        </is>
      </c>
      <c r="D16" s="130" t="n"/>
      <c r="E16" s="130" t="n"/>
      <c r="F16" s="130" t="n"/>
      <c r="G16" s="130" t="n">
        <v>2845.2</v>
      </c>
      <c r="H16" s="130" t="n">
        <v>4421.4</v>
      </c>
      <c r="I16" s="1" t="n"/>
      <c r="J16" s="37" t="inlineStr">
        <is>
          <t>S001 / S006</t>
        </is>
      </c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1" t="n"/>
      <c r="B17" s="1" t="n"/>
      <c r="C17" s="52" t="n"/>
      <c r="D17" s="67" t="n"/>
      <c r="E17" s="67" t="n"/>
      <c r="F17" s="67" t="n"/>
      <c r="G17" s="67" t="n"/>
      <c r="H17" s="67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1" t="n"/>
      <c r="B18" s="1" t="n"/>
      <c r="C18" s="52" t="n"/>
      <c r="D18" s="67" t="n"/>
      <c r="E18" s="67" t="n"/>
      <c r="F18" s="67" t="n"/>
      <c r="G18" s="67" t="n"/>
      <c r="H18" s="67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1" t="n"/>
      <c r="B19" s="1" t="n"/>
      <c r="C19" s="57" t="inlineStr">
        <is>
          <t>Reconciliation checks</t>
        </is>
      </c>
      <c r="D19" s="68" t="n"/>
      <c r="E19" s="68" t="n"/>
      <c r="F19" s="68" t="n"/>
      <c r="G19" s="68" t="n"/>
      <c r="H19" s="68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1" t="n"/>
      <c r="B20" s="1" t="n"/>
      <c r="C20" s="58" t="inlineStr">
        <is>
          <t>FY26 segment revenue difference</t>
        </is>
      </c>
      <c r="D20" s="69" t="n"/>
      <c r="E20" s="69" t="n"/>
      <c r="F20" s="69" t="n"/>
      <c r="G20" s="69" t="n"/>
      <c r="H20" s="133">
        <f>H7-'Segments'!H8</f>
        <v/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A21" s="1" t="n"/>
      <c r="B21" s="1" t="n"/>
      <c r="C21" s="60" t="inlineStr">
        <is>
          <t>FY26 segment operating profit difference</t>
        </is>
      </c>
      <c r="D21" s="71" t="n"/>
      <c r="E21" s="71" t="n"/>
      <c r="F21" s="71" t="n"/>
      <c r="G21" s="71" t="n"/>
      <c r="H21" s="134">
        <f>H9-'Segments'!H15</f>
        <v/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A22" s="1" t="n"/>
      <c r="B22" s="1" t="n"/>
      <c r="C22" s="52" t="n"/>
      <c r="D22" s="67" t="n"/>
      <c r="E22" s="67" t="n"/>
      <c r="F22" s="67" t="n"/>
      <c r="G22" s="67" t="n"/>
      <c r="H22" s="67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A23" s="1" t="n"/>
      <c r="B23" s="1" t="n"/>
      <c r="C23" s="52" t="n"/>
      <c r="D23" s="67" t="n"/>
      <c r="E23" s="67" t="n"/>
      <c r="F23" s="67" t="n"/>
      <c r="G23" s="67" t="n"/>
      <c r="H23" s="67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>
      <c r="A24" s="1" t="n"/>
      <c r="B24" s="1" t="n"/>
      <c r="C24" s="52" t="n"/>
      <c r="D24" s="67" t="n"/>
      <c r="E24" s="67" t="n"/>
      <c r="F24" s="67" t="n"/>
      <c r="G24" s="67" t="n"/>
      <c r="H24" s="67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>
      <c r="A25" s="1" t="n"/>
      <c r="B25" s="1" t="n"/>
      <c r="C25" s="52" t="n"/>
      <c r="D25" s="67" t="n"/>
      <c r="E25" s="67" t="n"/>
      <c r="F25" s="67" t="n"/>
      <c r="G25" s="67" t="n"/>
      <c r="H25" s="67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>
      <c r="A26" s="1" t="n"/>
      <c r="B26" s="1" t="n"/>
      <c r="C26" s="52" t="n"/>
      <c r="D26" s="67" t="n"/>
      <c r="E26" s="67" t="n"/>
      <c r="F26" s="67" t="n"/>
      <c r="G26" s="67" t="n"/>
      <c r="H26" s="67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>
      <c r="A27" s="1" t="n"/>
      <c r="B27" s="1" t="n"/>
      <c r="C27" s="52" t="n"/>
      <c r="D27" s="67" t="n"/>
      <c r="E27" s="67" t="n"/>
      <c r="F27" s="67" t="n"/>
      <c r="G27" s="67" t="n"/>
      <c r="H27" s="67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>
      <c r="A28" s="1" t="n"/>
      <c r="B28" s="1" t="n"/>
      <c r="C28" s="52" t="n"/>
      <c r="D28" s="67" t="n"/>
      <c r="E28" s="67" t="n"/>
      <c r="F28" s="67" t="n"/>
      <c r="G28" s="67" t="n"/>
      <c r="H28" s="67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>
      <c r="A29" s="1" t="n"/>
      <c r="B29" s="1" t="n"/>
      <c r="C29" s="52" t="n"/>
      <c r="D29" s="67" t="n"/>
      <c r="E29" s="67" t="n"/>
      <c r="F29" s="67" t="n"/>
      <c r="G29" s="67" t="n"/>
      <c r="H29" s="67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>
      <c r="A30" s="1" t="n"/>
      <c r="B30" s="1" t="n"/>
      <c r="C30" s="52" t="n"/>
      <c r="D30" s="67" t="n"/>
      <c r="E30" s="67" t="n"/>
      <c r="F30" s="67" t="n"/>
      <c r="G30" s="67" t="n"/>
      <c r="H30" s="67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>
      <c r="A31" s="1" t="n"/>
      <c r="B31" s="1" t="n"/>
      <c r="C31" s="52" t="n"/>
      <c r="D31" s="67" t="n"/>
      <c r="E31" s="67" t="n"/>
      <c r="F31" s="67" t="n"/>
      <c r="G31" s="67" t="n"/>
      <c r="H31" s="67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>
      <c r="A32" s="1" t="n"/>
      <c r="B32" s="1" t="n"/>
      <c r="C32" s="52" t="n"/>
      <c r="D32" s="67" t="n"/>
      <c r="E32" s="67" t="n"/>
      <c r="F32" s="67" t="n"/>
      <c r="G32" s="67" t="n"/>
      <c r="H32" s="67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>
      <c r="A33" s="1" t="n"/>
      <c r="B33" s="1" t="n"/>
      <c r="C33" s="52" t="n"/>
      <c r="D33" s="67" t="n"/>
      <c r="E33" s="67" t="n"/>
      <c r="F33" s="67" t="n"/>
      <c r="G33" s="67" t="n"/>
      <c r="H33" s="67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>
      <c r="A34" s="1" t="n"/>
      <c r="B34" s="1" t="n"/>
      <c r="C34" s="52" t="n"/>
      <c r="D34" s="67" t="n"/>
      <c r="E34" s="67" t="n"/>
      <c r="F34" s="67" t="n"/>
      <c r="G34" s="67" t="n"/>
      <c r="H34" s="67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>
      <c r="A35" s="1" t="n"/>
      <c r="B35" s="1" t="n"/>
      <c r="C35" s="52" t="n"/>
      <c r="D35" s="67" t="n"/>
      <c r="E35" s="67" t="n"/>
      <c r="F35" s="67" t="n"/>
      <c r="G35" s="67" t="n"/>
      <c r="H35" s="67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>
      <c r="A36" s="1" t="n"/>
      <c r="B36" s="1" t="n"/>
      <c r="C36" s="52" t="n"/>
      <c r="D36" s="67" t="n"/>
      <c r="E36" s="67" t="n"/>
      <c r="F36" s="67" t="n"/>
      <c r="G36" s="67" t="n"/>
      <c r="H36" s="67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>
      <c r="A37" s="1" t="n"/>
      <c r="B37" s="1" t="n"/>
      <c r="C37" s="52" t="n"/>
      <c r="D37" s="67" t="n"/>
      <c r="E37" s="67" t="n"/>
      <c r="F37" s="67" t="n"/>
      <c r="G37" s="67" t="n"/>
      <c r="H37" s="67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>
      <c r="A38" s="1" t="n"/>
      <c r="B38" s="1" t="n"/>
      <c r="C38" s="52" t="n"/>
      <c r="D38" s="67" t="n"/>
      <c r="E38" s="67" t="n"/>
      <c r="F38" s="67" t="n"/>
      <c r="G38" s="67" t="n"/>
      <c r="H38" s="67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>
      <c r="A39" s="1" t="n"/>
      <c r="B39" s="1" t="n"/>
      <c r="C39" s="52" t="n"/>
      <c r="D39" s="67" t="n"/>
      <c r="E39" s="67" t="n"/>
      <c r="F39" s="67" t="n"/>
      <c r="G39" s="67" t="n"/>
      <c r="H39" s="67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>
      <c r="A40" s="1" t="n"/>
      <c r="B40" s="1" t="n"/>
      <c r="C40" s="52" t="n"/>
      <c r="D40" s="67" t="n"/>
      <c r="E40" s="67" t="n"/>
      <c r="F40" s="67" t="n"/>
      <c r="G40" s="67" t="n"/>
      <c r="H40" s="67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>
      <c r="A41" s="1" t="n"/>
      <c r="B41" s="1" t="n"/>
      <c r="C41" s="52" t="n"/>
      <c r="D41" s="67" t="n"/>
      <c r="E41" s="67" t="n"/>
      <c r="F41" s="67" t="n"/>
      <c r="G41" s="67" t="n"/>
      <c r="H41" s="67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>
      <c r="A42" s="1" t="n"/>
      <c r="B42" s="1" t="n"/>
      <c r="C42" s="52" t="n"/>
      <c r="D42" s="67" t="n"/>
      <c r="E42" s="67" t="n"/>
      <c r="F42" s="67" t="n"/>
      <c r="G42" s="67" t="n"/>
      <c r="H42" s="67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>
      <c r="A43" s="1" t="n"/>
      <c r="B43" s="1" t="n"/>
      <c r="C43" s="52" t="n"/>
      <c r="D43" s="67" t="n"/>
      <c r="E43" s="67" t="n"/>
      <c r="F43" s="67" t="n"/>
      <c r="G43" s="67" t="n"/>
      <c r="H43" s="67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>
      <c r="A44" s="1" t="n"/>
      <c r="B44" s="1" t="n"/>
      <c r="C44" s="52" t="n"/>
      <c r="D44" s="67" t="n"/>
      <c r="E44" s="67" t="n"/>
      <c r="F44" s="67" t="n"/>
      <c r="G44" s="67" t="n"/>
      <c r="H44" s="67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>
      <c r="A45" s="1" t="n"/>
      <c r="B45" s="1" t="n"/>
      <c r="C45" s="52" t="n"/>
      <c r="D45" s="67" t="n"/>
      <c r="E45" s="67" t="n"/>
      <c r="F45" s="67" t="n"/>
      <c r="G45" s="67" t="n"/>
      <c r="H45" s="67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>
      <c r="A46" s="1" t="n"/>
      <c r="B46" s="1" t="n"/>
      <c r="C46" s="52" t="n"/>
      <c r="D46" s="67" t="n"/>
      <c r="E46" s="67" t="n"/>
      <c r="F46" s="67" t="n"/>
      <c r="G46" s="67" t="n"/>
      <c r="H46" s="67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>
      <c r="A47" s="1" t="n"/>
      <c r="B47" s="1" t="n"/>
      <c r="C47" s="52" t="n"/>
      <c r="D47" s="67" t="n"/>
      <c r="E47" s="67" t="n"/>
      <c r="F47" s="67" t="n"/>
      <c r="G47" s="67" t="n"/>
      <c r="H47" s="67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>
      <c r="A48" s="1" t="n"/>
      <c r="B48" s="1" t="n"/>
      <c r="C48" s="52" t="n"/>
      <c r="D48" s="67" t="n"/>
      <c r="E48" s="67" t="n"/>
      <c r="F48" s="67" t="n"/>
      <c r="G48" s="67" t="n"/>
      <c r="H48" s="67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>
      <c r="A49" s="1" t="n"/>
      <c r="B49" s="1" t="n"/>
      <c r="C49" s="52" t="n"/>
      <c r="D49" s="67" t="n"/>
      <c r="E49" s="67" t="n"/>
      <c r="F49" s="67" t="n"/>
      <c r="G49" s="67" t="n"/>
      <c r="H49" s="67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>
      <c r="A50" s="1" t="n"/>
      <c r="B50" s="1" t="n"/>
      <c r="C50" s="52" t="n"/>
      <c r="D50" s="67" t="n"/>
      <c r="E50" s="67" t="n"/>
      <c r="F50" s="67" t="n"/>
      <c r="G50" s="67" t="n"/>
      <c r="H50" s="67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>
      <c r="A51" s="1" t="n"/>
      <c r="B51" s="1" t="n"/>
      <c r="C51" s="52" t="n"/>
      <c r="D51" s="67" t="n"/>
      <c r="E51" s="67" t="n"/>
      <c r="F51" s="67" t="n"/>
      <c r="G51" s="67" t="n"/>
      <c r="H51" s="67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>
      <c r="A52" s="1" t="n"/>
      <c r="B52" s="1" t="n"/>
      <c r="C52" s="52" t="n"/>
      <c r="D52" s="67" t="n"/>
      <c r="E52" s="67" t="n"/>
      <c r="F52" s="67" t="n"/>
      <c r="G52" s="67" t="n"/>
      <c r="H52" s="67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>
      <c r="A53" s="1" t="n"/>
      <c r="B53" s="1" t="n"/>
      <c r="C53" s="52" t="n"/>
      <c r="D53" s="67" t="n"/>
      <c r="E53" s="67" t="n"/>
      <c r="F53" s="67" t="n"/>
      <c r="G53" s="67" t="n"/>
      <c r="H53" s="67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>
      <c r="A54" s="1" t="n"/>
      <c r="B54" s="1" t="n"/>
      <c r="C54" s="52" t="n"/>
      <c r="D54" s="67" t="n"/>
      <c r="E54" s="67" t="n"/>
      <c r="F54" s="67" t="n"/>
      <c r="G54" s="67" t="n"/>
      <c r="H54" s="67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>
      <c r="A55" s="1" t="n"/>
      <c r="B55" s="1" t="n"/>
      <c r="C55" s="52" t="n"/>
      <c r="D55" s="67" t="n"/>
      <c r="E55" s="67" t="n"/>
      <c r="F55" s="67" t="n"/>
      <c r="G55" s="67" t="n"/>
      <c r="H55" s="67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>
      <c r="A56" s="1" t="n"/>
      <c r="B56" s="1" t="n"/>
      <c r="C56" s="52" t="n"/>
      <c r="D56" s="67" t="n"/>
      <c r="E56" s="67" t="n"/>
      <c r="F56" s="67" t="n"/>
      <c r="G56" s="67" t="n"/>
      <c r="H56" s="67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>
      <c r="A57" s="1" t="n"/>
      <c r="B57" s="1" t="n"/>
      <c r="C57" s="52" t="n"/>
      <c r="D57" s="67" t="n"/>
      <c r="E57" s="67" t="n"/>
      <c r="F57" s="67" t="n"/>
      <c r="G57" s="67" t="n"/>
      <c r="H57" s="67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>
      <c r="A58" s="1" t="n"/>
      <c r="B58" s="1" t="n"/>
      <c r="C58" s="52" t="n"/>
      <c r="D58" s="67" t="n"/>
      <c r="E58" s="67" t="n"/>
      <c r="F58" s="67" t="n"/>
      <c r="G58" s="67" t="n"/>
      <c r="H58" s="67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>
      <c r="A59" s="1" t="n"/>
      <c r="B59" s="1" t="n"/>
      <c r="C59" s="52" t="n"/>
      <c r="D59" s="67" t="n"/>
      <c r="E59" s="67" t="n"/>
      <c r="F59" s="67" t="n"/>
      <c r="G59" s="67" t="n"/>
      <c r="H59" s="67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>
      <c r="A60" s="1" t="n"/>
      <c r="B60" s="1" t="n"/>
      <c r="C60" s="52" t="n"/>
      <c r="D60" s="67" t="n"/>
      <c r="E60" s="67" t="n"/>
      <c r="F60" s="67" t="n"/>
      <c r="G60" s="67" t="n"/>
      <c r="H60" s="67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4472C4"/>
    <outlinePr summaryBelow="1" summaryRight="1"/>
    <pageSetUpPr/>
  </sheetPr>
  <dimension ref="A1:Z100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3" customWidth="1" min="1" max="1"/>
    <col width="3" customWidth="1" min="2" max="2"/>
    <col width="3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1" t="n"/>
      <c r="B2" s="1" t="n"/>
      <c r="C2" s="26" t="inlineStr">
        <is>
          <t>Segment Performance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1" t="n"/>
      <c r="B3" s="1" t="n"/>
      <c r="C3" s="27" t="n"/>
      <c r="D3" s="27" t="n"/>
      <c r="E3" s="27" t="n"/>
      <c r="F3" s="27" t="n"/>
      <c r="G3" s="27" t="n"/>
      <c r="H3" s="27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1" t="n"/>
      <c r="B4" s="1" t="n"/>
      <c r="C4" s="28" t="inlineStr">
        <is>
          <t>EMEA Services and Global Solutions; FY22-FY26 actual results (£m)</t>
        </is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2" customHeight="1">
      <c r="A6" s="1" t="n"/>
      <c r="B6" s="1" t="n"/>
      <c r="C6" s="17" t="inlineStr">
        <is>
          <t>Metric</t>
        </is>
      </c>
      <c r="D6" s="29" t="inlineStr">
        <is>
          <t>FY22</t>
        </is>
      </c>
      <c r="E6" s="29" t="inlineStr">
        <is>
          <t>FY23</t>
        </is>
      </c>
      <c r="F6" s="29" t="inlineStr">
        <is>
          <t>FY24</t>
        </is>
      </c>
      <c r="G6" s="29" t="inlineStr">
        <is>
          <t>FY25</t>
        </is>
      </c>
      <c r="H6" s="18" t="inlineStr">
        <is>
          <t>FY26</t>
        </is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1" t="n"/>
      <c r="B7" s="1" t="n"/>
      <c r="C7" s="57" t="inlineStr">
        <is>
          <t>Revenue</t>
        </is>
      </c>
      <c r="D7" s="68" t="n"/>
      <c r="E7" s="68" t="n"/>
      <c r="F7" s="68" t="n"/>
      <c r="G7" s="68" t="n"/>
      <c r="H7" s="68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1" t="n"/>
      <c r="B8" s="1" t="n"/>
      <c r="C8" s="52" t="inlineStr">
        <is>
          <t xml:space="preserve">  Total segment revenue</t>
        </is>
      </c>
      <c r="D8" s="135">
        <f>D9+D10</f>
        <v/>
      </c>
      <c r="E8" s="135">
        <f>E9+E10</f>
        <v/>
      </c>
      <c r="F8" s="135">
        <f>F9+F10</f>
        <v/>
      </c>
      <c r="G8" s="135">
        <f>G9+G10</f>
        <v/>
      </c>
      <c r="H8" s="135">
        <f>H9+H10</f>
        <v/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1" t="n"/>
      <c r="B9" s="1" t="n"/>
      <c r="C9" s="52" t="inlineStr">
        <is>
          <t xml:space="preserve">  EMEA Services</t>
        </is>
      </c>
      <c r="D9" s="130" t="n">
        <v>1059.2</v>
      </c>
      <c r="E9" s="130" t="n">
        <v>1179.3</v>
      </c>
      <c r="F9" s="130" t="n">
        <v>1417.4</v>
      </c>
      <c r="G9" s="130" t="n">
        <v>1477.7</v>
      </c>
      <c r="H9" s="130" t="n">
        <v>1529.2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1" t="n"/>
      <c r="B10" s="1" t="n"/>
      <c r="C10" s="52" t="inlineStr">
        <is>
          <t xml:space="preserve">  Global Solutions</t>
        </is>
      </c>
      <c r="D10" s="130" t="n">
        <v>261.2</v>
      </c>
      <c r="E10" s="130" t="n">
        <v>401.4</v>
      </c>
      <c r="F10" s="130" t="n">
        <v>494.7</v>
      </c>
      <c r="G10" s="130" t="n">
        <v>453.9</v>
      </c>
      <c r="H10" s="130" t="n">
        <v>393.4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1" t="n"/>
      <c r="B11" s="1" t="n"/>
      <c r="C11" s="54" t="inlineStr">
        <is>
          <t xml:space="preserve">  EMEA revenue growth</t>
        </is>
      </c>
      <c r="D11" s="131" t="n"/>
      <c r="E11" s="131">
        <f>E9/D9-1</f>
        <v/>
      </c>
      <c r="F11" s="131">
        <f>F9/E9-1</f>
        <v/>
      </c>
      <c r="G11" s="131">
        <f>G9/F9-1</f>
        <v/>
      </c>
      <c r="H11" s="131">
        <f>H9/G9-1</f>
        <v/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1" t="n"/>
      <c r="B12" s="1" t="n"/>
      <c r="C12" s="54" t="inlineStr">
        <is>
          <t xml:space="preserve">  Global Solutions revenue growth</t>
        </is>
      </c>
      <c r="D12" s="131" t="n"/>
      <c r="E12" s="131">
        <f>E10/D10-1</f>
        <v/>
      </c>
      <c r="F12" s="131">
        <f>F10/E10-1</f>
        <v/>
      </c>
      <c r="G12" s="131">
        <f>G10/F10-1</f>
        <v/>
      </c>
      <c r="H12" s="131">
        <f>H10/G10-1</f>
        <v/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1" t="n"/>
      <c r="B13" s="1" t="n"/>
      <c r="C13" s="52" t="str"/>
      <c r="D13" s="67" t="n"/>
      <c r="E13" s="67" t="n"/>
      <c r="F13" s="67" t="n"/>
      <c r="G13" s="67" t="n"/>
      <c r="H13" s="67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1" t="n"/>
      <c r="B14" s="1" t="n"/>
      <c r="C14" s="57" t="inlineStr">
        <is>
          <t>Operating profit</t>
        </is>
      </c>
      <c r="D14" s="68" t="n"/>
      <c r="E14" s="68" t="n"/>
      <c r="F14" s="68" t="n"/>
      <c r="G14" s="68" t="n"/>
      <c r="H14" s="68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1" t="n"/>
      <c r="B15" s="1" t="n"/>
      <c r="C15" s="52" t="inlineStr">
        <is>
          <t xml:space="preserve">  Total segment operating profit</t>
        </is>
      </c>
      <c r="D15" s="135">
        <f>D16+D17</f>
        <v/>
      </c>
      <c r="E15" s="135">
        <f>E16+E17</f>
        <v/>
      </c>
      <c r="F15" s="135">
        <f>F16+F17</f>
        <v/>
      </c>
      <c r="G15" s="135">
        <f>G16+G17</f>
        <v/>
      </c>
      <c r="H15" s="135">
        <f>H16+H17</f>
        <v/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1" t="n"/>
      <c r="B16" s="1" t="n"/>
      <c r="C16" s="52" t="inlineStr">
        <is>
          <t xml:space="preserve">  EMEA Services</t>
        </is>
      </c>
      <c r="D16" s="130" t="n">
        <v>135.6</v>
      </c>
      <c r="E16" s="130" t="n">
        <v>137.1</v>
      </c>
      <c r="F16" s="130" t="n">
        <v>163.4</v>
      </c>
      <c r="G16" s="130" t="n">
        <v>169</v>
      </c>
      <c r="H16" s="130" t="n">
        <v>182.3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1" t="n"/>
      <c r="B17" s="1" t="n"/>
      <c r="C17" s="52" t="inlineStr">
        <is>
          <t xml:space="preserve">  Global Solutions</t>
        </is>
      </c>
      <c r="D17" s="130" t="n">
        <v>1.8</v>
      </c>
      <c r="E17" s="130" t="n">
        <v>41.8</v>
      </c>
      <c r="F17" s="130" t="n">
        <v>51.8</v>
      </c>
      <c r="G17" s="130" t="n">
        <v>16.4</v>
      </c>
      <c r="H17" s="130" t="n">
        <v>35.6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1" t="n"/>
      <c r="B18" s="1" t="n"/>
      <c r="C18" s="54" t="inlineStr">
        <is>
          <t xml:space="preserve">  Group segment margin</t>
        </is>
      </c>
      <c r="D18" s="131">
        <f>D15/D8</f>
        <v/>
      </c>
      <c r="E18" s="131">
        <f>E15/E8</f>
        <v/>
      </c>
      <c r="F18" s="131">
        <f>F15/F8</f>
        <v/>
      </c>
      <c r="G18" s="131">
        <f>G15/G8</f>
        <v/>
      </c>
      <c r="H18" s="131">
        <f>H15/H8</f>
        <v/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1" t="n"/>
      <c r="B19" s="1" t="n"/>
      <c r="C19" s="54" t="inlineStr">
        <is>
          <t xml:space="preserve">  EMEA margin</t>
        </is>
      </c>
      <c r="D19" s="131">
        <f>D16/D9</f>
        <v/>
      </c>
      <c r="E19" s="131">
        <f>E16/E9</f>
        <v/>
      </c>
      <c r="F19" s="131">
        <f>F16/F9</f>
        <v/>
      </c>
      <c r="G19" s="131">
        <f>G16/G9</f>
        <v/>
      </c>
      <c r="H19" s="131">
        <f>H16/H9</f>
        <v/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1" t="n"/>
      <c r="B20" s="1" t="n"/>
      <c r="C20" s="54" t="inlineStr">
        <is>
          <t xml:space="preserve">  Global Solutions margin</t>
        </is>
      </c>
      <c r="D20" s="131">
        <f>D17/D10</f>
        <v/>
      </c>
      <c r="E20" s="131">
        <f>E17/E10</f>
        <v/>
      </c>
      <c r="F20" s="131">
        <f>F17/F10</f>
        <v/>
      </c>
      <c r="G20" s="131">
        <f>G17/G10</f>
        <v/>
      </c>
      <c r="H20" s="131">
        <f>H17/H10</f>
        <v/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A21" s="1" t="n"/>
      <c r="B21" s="1" t="n"/>
      <c r="C21" s="57" t="inlineStr">
        <is>
          <t>Revenue mix</t>
        </is>
      </c>
      <c r="D21" s="68" t="n"/>
      <c r="E21" s="68" t="n"/>
      <c r="F21" s="68" t="n"/>
      <c r="G21" s="68" t="n"/>
      <c r="H21" s="68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A22" s="1" t="n"/>
      <c r="B22" s="1" t="n"/>
      <c r="C22" s="54" t="inlineStr">
        <is>
          <t xml:space="preserve">  EMEA share of revenue</t>
        </is>
      </c>
      <c r="D22" s="131">
        <f>D9/D8</f>
        <v/>
      </c>
      <c r="E22" s="131">
        <f>E9/E8</f>
        <v/>
      </c>
      <c r="F22" s="131">
        <f>F9/F8</f>
        <v/>
      </c>
      <c r="G22" s="131">
        <f>G9/G8</f>
        <v/>
      </c>
      <c r="H22" s="131">
        <f>H9/H8</f>
        <v/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A23" s="1" t="n"/>
      <c r="B23" s="1" t="n"/>
      <c r="C23" s="52" t="n"/>
      <c r="D23" s="67" t="n"/>
      <c r="E23" s="67" t="n"/>
      <c r="F23" s="67" t="n"/>
      <c r="G23" s="67" t="n"/>
      <c r="H23" s="67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>
      <c r="A24" s="1" t="n"/>
      <c r="B24" s="1" t="n"/>
      <c r="C24" s="52" t="inlineStr">
        <is>
          <t>Source</t>
        </is>
      </c>
      <c r="D24" s="76" t="inlineStr">
        <is>
          <t>QinetiQ Annual Report and Accounts 2026, five-year financial summary, p.216</t>
        </is>
      </c>
      <c r="E24" s="76" t="n"/>
      <c r="F24" s="76" t="n"/>
      <c r="G24" s="76" t="n"/>
      <c r="H24" s="76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>
      <c r="A25" s="1" t="n"/>
      <c r="B25" s="1" t="n"/>
      <c r="C25" s="52" t="n"/>
      <c r="D25" s="67" t="n"/>
      <c r="E25" s="67" t="n"/>
      <c r="F25" s="67" t="n"/>
      <c r="G25" s="67" t="n"/>
      <c r="H25" s="67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>
      <c r="A26" s="1" t="n"/>
      <c r="B26" s="1" t="n"/>
      <c r="C26" s="52" t="n"/>
      <c r="D26" s="67" t="n"/>
      <c r="E26" s="67" t="n"/>
      <c r="F26" s="67" t="n"/>
      <c r="G26" s="67" t="n"/>
      <c r="H26" s="67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>
      <c r="A27" s="1" t="n"/>
      <c r="B27" s="1" t="n"/>
      <c r="C27" s="52" t="n"/>
      <c r="D27" s="67" t="n"/>
      <c r="E27" s="67" t="n"/>
      <c r="F27" s="67" t="n"/>
      <c r="G27" s="67" t="n"/>
      <c r="H27" s="67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>
      <c r="A28" s="1" t="n"/>
      <c r="B28" s="1" t="n"/>
      <c r="C28" s="52" t="n"/>
      <c r="D28" s="67" t="n"/>
      <c r="E28" s="67" t="n"/>
      <c r="F28" s="67" t="n"/>
      <c r="G28" s="67" t="n"/>
      <c r="H28" s="67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>
      <c r="A29" s="1" t="n"/>
      <c r="B29" s="1" t="n"/>
      <c r="C29" s="52" t="n"/>
      <c r="D29" s="67" t="n"/>
      <c r="E29" s="67" t="n"/>
      <c r="F29" s="67" t="n"/>
      <c r="G29" s="67" t="n"/>
      <c r="H29" s="67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>
      <c r="A30" s="1" t="n"/>
      <c r="B30" s="1" t="n"/>
      <c r="C30" s="52" t="n"/>
      <c r="D30" s="67" t="n"/>
      <c r="E30" s="67" t="n"/>
      <c r="F30" s="67" t="n"/>
      <c r="G30" s="67" t="n"/>
      <c r="H30" s="67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>
      <c r="A31" s="1" t="n"/>
      <c r="B31" s="1" t="n"/>
      <c r="C31" s="52" t="n"/>
      <c r="D31" s="67" t="n"/>
      <c r="E31" s="67" t="n"/>
      <c r="F31" s="67" t="n"/>
      <c r="G31" s="67" t="n"/>
      <c r="H31" s="67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>
      <c r="A32" s="1" t="n"/>
      <c r="B32" s="1" t="n"/>
      <c r="C32" s="52" t="n"/>
      <c r="D32" s="67" t="n"/>
      <c r="E32" s="67" t="n"/>
      <c r="F32" s="67" t="n"/>
      <c r="G32" s="67" t="n"/>
      <c r="H32" s="67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>
      <c r="A33" s="1" t="n"/>
      <c r="B33" s="1" t="n"/>
      <c r="C33" s="52" t="n"/>
      <c r="D33" s="67" t="n"/>
      <c r="E33" s="67" t="n"/>
      <c r="F33" s="67" t="n"/>
      <c r="G33" s="67" t="n"/>
      <c r="H33" s="67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>
      <c r="A34" s="1" t="n"/>
      <c r="B34" s="1" t="n"/>
      <c r="C34" s="52" t="n"/>
      <c r="D34" s="67" t="n"/>
      <c r="E34" s="67" t="n"/>
      <c r="F34" s="67" t="n"/>
      <c r="G34" s="67" t="n"/>
      <c r="H34" s="67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>
      <c r="A35" s="1" t="n"/>
      <c r="B35" s="1" t="n"/>
      <c r="C35" s="52" t="n"/>
      <c r="D35" s="67" t="n"/>
      <c r="E35" s="67" t="n"/>
      <c r="F35" s="67" t="n"/>
      <c r="G35" s="67" t="n"/>
      <c r="H35" s="67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>
      <c r="A36" s="1" t="n"/>
      <c r="B36" s="1" t="n"/>
      <c r="C36" s="52" t="n"/>
      <c r="D36" s="67" t="n"/>
      <c r="E36" s="67" t="n"/>
      <c r="F36" s="67" t="n"/>
      <c r="G36" s="67" t="n"/>
      <c r="H36" s="67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>
      <c r="A37" s="1" t="n"/>
      <c r="B37" s="1" t="n"/>
      <c r="C37" s="52" t="n"/>
      <c r="D37" s="67" t="n"/>
      <c r="E37" s="67" t="n"/>
      <c r="F37" s="67" t="n"/>
      <c r="G37" s="67" t="n"/>
      <c r="H37" s="67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>
      <c r="A38" s="1" t="n"/>
      <c r="B38" s="1" t="n"/>
      <c r="C38" s="52" t="n"/>
      <c r="D38" s="67" t="n"/>
      <c r="E38" s="67" t="n"/>
      <c r="F38" s="67" t="n"/>
      <c r="G38" s="67" t="n"/>
      <c r="H38" s="67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>
      <c r="A39" s="1" t="n"/>
      <c r="B39" s="1" t="n"/>
      <c r="C39" s="52" t="n"/>
      <c r="D39" s="67" t="n"/>
      <c r="E39" s="67" t="n"/>
      <c r="F39" s="67" t="n"/>
      <c r="G39" s="67" t="n"/>
      <c r="H39" s="67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>
      <c r="A40" s="1" t="n"/>
      <c r="B40" s="1" t="n"/>
      <c r="C40" s="52" t="n"/>
      <c r="D40" s="67" t="n"/>
      <c r="E40" s="67" t="n"/>
      <c r="F40" s="67" t="n"/>
      <c r="G40" s="67" t="n"/>
      <c r="H40" s="67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>
      <c r="A41" s="1" t="n"/>
      <c r="B41" s="1" t="n"/>
      <c r="C41" s="52" t="n"/>
      <c r="D41" s="67" t="n"/>
      <c r="E41" s="67" t="n"/>
      <c r="F41" s="67" t="n"/>
      <c r="G41" s="67" t="n"/>
      <c r="H41" s="67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>
      <c r="A42" s="1" t="n"/>
      <c r="B42" s="1" t="n"/>
      <c r="C42" s="52" t="n"/>
      <c r="D42" s="67" t="n"/>
      <c r="E42" s="67" t="n"/>
      <c r="F42" s="67" t="n"/>
      <c r="G42" s="67" t="n"/>
      <c r="H42" s="67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>
      <c r="A43" s="1" t="n"/>
      <c r="B43" s="1" t="n"/>
      <c r="C43" s="52" t="n"/>
      <c r="D43" s="67" t="n"/>
      <c r="E43" s="67" t="n"/>
      <c r="F43" s="67" t="n"/>
      <c r="G43" s="67" t="n"/>
      <c r="H43" s="67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>
      <c r="A44" s="1" t="n"/>
      <c r="B44" s="1" t="n"/>
      <c r="C44" s="52" t="n"/>
      <c r="D44" s="67" t="n"/>
      <c r="E44" s="67" t="n"/>
      <c r="F44" s="67" t="n"/>
      <c r="G44" s="67" t="n"/>
      <c r="H44" s="67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>
      <c r="A45" s="1" t="n"/>
      <c r="B45" s="1" t="n"/>
      <c r="C45" s="52" t="n"/>
      <c r="D45" s="67" t="n"/>
      <c r="E45" s="67" t="n"/>
      <c r="F45" s="67" t="n"/>
      <c r="G45" s="67" t="n"/>
      <c r="H45" s="67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>
      <c r="A46" s="1" t="n"/>
      <c r="B46" s="1" t="n"/>
      <c r="C46" s="52" t="n"/>
      <c r="D46" s="67" t="n"/>
      <c r="E46" s="67" t="n"/>
      <c r="F46" s="67" t="n"/>
      <c r="G46" s="67" t="n"/>
      <c r="H46" s="67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>
      <c r="A47" s="1" t="n"/>
      <c r="B47" s="1" t="n"/>
      <c r="C47" s="52" t="n"/>
      <c r="D47" s="67" t="n"/>
      <c r="E47" s="67" t="n"/>
      <c r="F47" s="67" t="n"/>
      <c r="G47" s="67" t="n"/>
      <c r="H47" s="67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>
      <c r="A48" s="1" t="n"/>
      <c r="B48" s="1" t="n"/>
      <c r="C48" s="52" t="n"/>
      <c r="D48" s="67" t="n"/>
      <c r="E48" s="67" t="n"/>
      <c r="F48" s="67" t="n"/>
      <c r="G48" s="67" t="n"/>
      <c r="H48" s="67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>
      <c r="A49" s="1" t="n"/>
      <c r="B49" s="1" t="n"/>
      <c r="C49" s="52" t="n"/>
      <c r="D49" s="67" t="n"/>
      <c r="E49" s="67" t="n"/>
      <c r="F49" s="67" t="n"/>
      <c r="G49" s="67" t="n"/>
      <c r="H49" s="67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>
      <c r="A50" s="1" t="n"/>
      <c r="B50" s="1" t="n"/>
      <c r="C50" s="52" t="n"/>
      <c r="D50" s="67" t="n"/>
      <c r="E50" s="67" t="n"/>
      <c r="F50" s="67" t="n"/>
      <c r="G50" s="67" t="n"/>
      <c r="H50" s="67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>
      <c r="A51" s="1" t="n"/>
      <c r="B51" s="1" t="n"/>
      <c r="C51" s="52" t="n"/>
      <c r="D51" s="67" t="n"/>
      <c r="E51" s="67" t="n"/>
      <c r="F51" s="67" t="n"/>
      <c r="G51" s="67" t="n"/>
      <c r="H51" s="67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>
      <c r="A52" s="1" t="n"/>
      <c r="B52" s="1" t="n"/>
      <c r="C52" s="52" t="n"/>
      <c r="D52" s="67" t="n"/>
      <c r="E52" s="67" t="n"/>
      <c r="F52" s="67" t="n"/>
      <c r="G52" s="67" t="n"/>
      <c r="H52" s="67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>
      <c r="A53" s="1" t="n"/>
      <c r="B53" s="1" t="n"/>
      <c r="C53" s="52" t="n"/>
      <c r="D53" s="67" t="n"/>
      <c r="E53" s="67" t="n"/>
      <c r="F53" s="67" t="n"/>
      <c r="G53" s="67" t="n"/>
      <c r="H53" s="67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>
      <c r="A54" s="1" t="n"/>
      <c r="B54" s="1" t="n"/>
      <c r="C54" s="52" t="n"/>
      <c r="D54" s="67" t="n"/>
      <c r="E54" s="67" t="n"/>
      <c r="F54" s="67" t="n"/>
      <c r="G54" s="67" t="n"/>
      <c r="H54" s="67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>
      <c r="A55" s="1" t="n"/>
      <c r="B55" s="1" t="n"/>
      <c r="C55" s="52" t="n"/>
      <c r="D55" s="67" t="n"/>
      <c r="E55" s="67" t="n"/>
      <c r="F55" s="67" t="n"/>
      <c r="G55" s="67" t="n"/>
      <c r="H55" s="67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>
      <c r="A56" s="1" t="n"/>
      <c r="B56" s="1" t="n"/>
      <c r="C56" s="52" t="n"/>
      <c r="D56" s="67" t="n"/>
      <c r="E56" s="67" t="n"/>
      <c r="F56" s="67" t="n"/>
      <c r="G56" s="67" t="n"/>
      <c r="H56" s="67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>
      <c r="A57" s="1" t="n"/>
      <c r="B57" s="1" t="n"/>
      <c r="C57" s="52" t="n"/>
      <c r="D57" s="67" t="n"/>
      <c r="E57" s="67" t="n"/>
      <c r="F57" s="67" t="n"/>
      <c r="G57" s="67" t="n"/>
      <c r="H57" s="67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>
      <c r="A58" s="1" t="n"/>
      <c r="B58" s="1" t="n"/>
      <c r="C58" s="52" t="n"/>
      <c r="D58" s="67" t="n"/>
      <c r="E58" s="67" t="n"/>
      <c r="F58" s="67" t="n"/>
      <c r="G58" s="67" t="n"/>
      <c r="H58" s="67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>
      <c r="A59" s="1" t="n"/>
      <c r="B59" s="1" t="n"/>
      <c r="C59" s="52" t="n"/>
      <c r="D59" s="67" t="n"/>
      <c r="E59" s="67" t="n"/>
      <c r="F59" s="67" t="n"/>
      <c r="G59" s="67" t="n"/>
      <c r="H59" s="67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>
      <c r="A60" s="1" t="n"/>
      <c r="B60" s="1" t="n"/>
      <c r="C60" s="52" t="n"/>
      <c r="D60" s="67" t="n"/>
      <c r="E60" s="67" t="n"/>
      <c r="F60" s="67" t="n"/>
      <c r="G60" s="67" t="n"/>
      <c r="H60" s="67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F4B183"/>
    <outlinePr summaryBelow="1" summaryRight="1"/>
    <pageSetUpPr/>
  </sheetPr>
  <dimension ref="A1:Z100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3" customWidth="1" min="1" max="1"/>
    <col width="3" customWidth="1" min="2" max="2"/>
    <col width="47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38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1" t="n"/>
      <c r="B2" s="1" t="n"/>
      <c r="C2" s="26" t="inlineStr">
        <is>
          <t>Detailed Financial Statements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1" t="n"/>
      <c r="B3" s="1" t="n"/>
      <c r="C3" s="27" t="n"/>
      <c r="D3" s="27" t="n"/>
      <c r="E3" s="27" t="n"/>
      <c r="F3" s="27" t="n"/>
      <c r="G3" s="27" t="n"/>
      <c r="H3" s="27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1" t="n"/>
      <c r="B4" s="1" t="n"/>
      <c r="C4" s="28" t="inlineStr">
        <is>
          <t>Audited FY22-FY26 consolidated actuals; £m except EPS</t>
        </is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2" customHeight="1">
      <c r="A6" s="1" t="n"/>
      <c r="B6" s="1" t="n"/>
      <c r="C6" s="17" t="inlineStr">
        <is>
          <t>Metric</t>
        </is>
      </c>
      <c r="D6" s="29" t="inlineStr">
        <is>
          <t>FY22</t>
        </is>
      </c>
      <c r="E6" s="29" t="inlineStr">
        <is>
          <t>FY23</t>
        </is>
      </c>
      <c r="F6" s="29" t="inlineStr">
        <is>
          <t>FY24</t>
        </is>
      </c>
      <c r="G6" s="29" t="inlineStr">
        <is>
          <t>FY25</t>
        </is>
      </c>
      <c r="H6" s="18" t="inlineStr">
        <is>
          <t>FY26</t>
        </is>
      </c>
      <c r="I6" s="1" t="n"/>
      <c r="J6" s="32" t="inlineStr">
        <is>
          <t>Source page</t>
        </is>
      </c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1" t="n"/>
      <c r="B7" s="1" t="n"/>
      <c r="C7" s="57" t="inlineStr">
        <is>
          <t>Income statement</t>
        </is>
      </c>
      <c r="D7" s="68" t="n"/>
      <c r="E7" s="68" t="n"/>
      <c r="F7" s="68" t="n"/>
      <c r="G7" s="68" t="n"/>
      <c r="H7" s="68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1" t="n"/>
      <c r="B8" s="1" t="n"/>
      <c r="C8" s="52" t="inlineStr">
        <is>
          <t>Revenue</t>
        </is>
      </c>
      <c r="D8" s="136" t="n">
        <v>1320.4</v>
      </c>
      <c r="E8" s="136" t="n">
        <v>1580.7</v>
      </c>
      <c r="F8" s="136" t="n">
        <v>1912.1</v>
      </c>
      <c r="G8" s="136" t="n">
        <v>1931.6</v>
      </c>
      <c r="H8" s="136" t="n">
        <v>1922.6</v>
      </c>
      <c r="I8" s="1" t="n"/>
      <c r="J8" s="37" t="inlineStr">
        <is>
          <t>S008 p172; S007 p144; S006 p156</t>
        </is>
      </c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1" t="n"/>
      <c r="B9" s="1" t="n"/>
      <c r="C9" s="52" t="inlineStr">
        <is>
          <t>Other income</t>
        </is>
      </c>
      <c r="D9" s="136" t="n">
        <v>16.7</v>
      </c>
      <c r="E9" s="136" t="n">
        <v>49.6</v>
      </c>
      <c r="F9" s="136" t="n">
        <v>42.2</v>
      </c>
      <c r="G9" s="136" t="n">
        <v>39.2</v>
      </c>
      <c r="H9" s="136" t="n">
        <v>30.1</v>
      </c>
      <c r="I9" s="1" t="n"/>
      <c r="J9" s="37" t="inlineStr">
        <is>
          <t>S008 p172; S007 p144; S006 p156</t>
        </is>
      </c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1" t="n"/>
      <c r="B10" s="1" t="n"/>
      <c r="C10" s="52" t="inlineStr">
        <is>
          <t>EBITDA</t>
        </is>
      </c>
      <c r="D10" s="136" t="n">
        <v>187.7</v>
      </c>
      <c r="E10" s="136" t="n">
        <v>247.4</v>
      </c>
      <c r="F10" s="136" t="n">
        <v>283.9</v>
      </c>
      <c r="G10" s="136" t="n">
        <v>164.9</v>
      </c>
      <c r="H10" s="136" t="n">
        <v>289.9</v>
      </c>
      <c r="I10" s="1" t="n"/>
      <c r="J10" s="37" t="inlineStr">
        <is>
          <t>S008 p172; S007 p144; S006 p156</t>
        </is>
      </c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1" t="n"/>
      <c r="B11" s="1" t="n"/>
      <c r="C11" s="52" t="inlineStr">
        <is>
          <t>D&amp;A and non-current asset impairments</t>
        </is>
      </c>
      <c r="D11" s="136" t="n">
        <v>64</v>
      </c>
      <c r="E11" s="136" t="n">
        <v>74.59999999999999</v>
      </c>
      <c r="F11" s="136" t="n">
        <v>91.40000000000001</v>
      </c>
      <c r="G11" s="136" t="n">
        <v>255.4</v>
      </c>
      <c r="H11" s="136" t="n">
        <v>120.1</v>
      </c>
      <c r="I11" s="1" t="n"/>
      <c r="J11" s="37" t="inlineStr">
        <is>
          <t>S008 p172; S007 p144; S006 p156</t>
        </is>
      </c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1" t="n"/>
      <c r="B12" s="1" t="n"/>
      <c r="C12" s="97" t="inlineStr">
        <is>
          <t>Statutory operating profit/(loss)</t>
        </is>
      </c>
      <c r="D12" s="137">
        <f>D10-D11</f>
        <v/>
      </c>
      <c r="E12" s="137">
        <f>E10-E11</f>
        <v/>
      </c>
      <c r="F12" s="137">
        <f>F10-F11</f>
        <v/>
      </c>
      <c r="G12" s="137">
        <f>G10-G11</f>
        <v/>
      </c>
      <c r="H12" s="137">
        <f>H10-H11</f>
        <v/>
      </c>
      <c r="I12" s="1" t="n"/>
      <c r="J12" s="37" t="inlineStr">
        <is>
          <t>S008 p172; S007 p144; S006 p156</t>
        </is>
      </c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1" t="n"/>
      <c r="B13" s="1" t="n"/>
      <c r="C13" s="52" t="inlineStr">
        <is>
          <t>Underlying operating profit (incl. RDEC)</t>
        </is>
      </c>
      <c r="D13" s="136" t="n">
        <v>143.6</v>
      </c>
      <c r="E13" s="136" t="n">
        <v>196.3</v>
      </c>
      <c r="F13" s="136" t="n">
        <v>242.4</v>
      </c>
      <c r="G13" s="136" t="n">
        <v>215.4</v>
      </c>
      <c r="H13" s="136" t="n">
        <v>247.2</v>
      </c>
      <c r="I13" s="1" t="n"/>
      <c r="J13" s="37" t="inlineStr">
        <is>
          <t>S008 p172; S007 p144; S006 p156</t>
        </is>
      </c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1" t="n"/>
      <c r="B14" s="1" t="n"/>
      <c r="C14" s="52" t="inlineStr">
        <is>
          <t>Net finance and other non-operating expense/(income)</t>
        </is>
      </c>
      <c r="D14" s="136" t="n">
        <v>-2.2</v>
      </c>
      <c r="E14" s="136" t="n">
        <v>-19.2</v>
      </c>
      <c r="F14" s="136" t="n">
        <v>9.800000000000001</v>
      </c>
      <c r="G14" s="136" t="n">
        <v>15.8</v>
      </c>
      <c r="H14" s="136" t="n">
        <v>14.7</v>
      </c>
      <c r="I14" s="1" t="n"/>
      <c r="J14" s="37" t="inlineStr">
        <is>
          <t>S008 p172; S007 p144; S006 p156</t>
        </is>
      </c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1" t="n"/>
      <c r="B15" s="1" t="n"/>
      <c r="C15" s="97" t="inlineStr">
        <is>
          <t>Profit/(loss) before tax</t>
        </is>
      </c>
      <c r="D15" s="137">
        <f>D12-D14</f>
        <v/>
      </c>
      <c r="E15" s="137">
        <f>E12-E14</f>
        <v/>
      </c>
      <c r="F15" s="137">
        <f>F12-F14</f>
        <v/>
      </c>
      <c r="G15" s="137">
        <f>G12-G14</f>
        <v/>
      </c>
      <c r="H15" s="137">
        <f>H12-H14</f>
        <v/>
      </c>
      <c r="I15" s="1" t="n"/>
      <c r="J15" s="37" t="inlineStr">
        <is>
          <t>S008 p172; S007 p144; S006 p156</t>
        </is>
      </c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1" t="n"/>
      <c r="B16" s="1" t="n"/>
      <c r="C16" s="52" t="inlineStr">
        <is>
          <t>Tax expense/(income)</t>
        </is>
      </c>
      <c r="D16" s="136" t="n">
        <v>35.9</v>
      </c>
      <c r="E16" s="136" t="n">
        <v>37.6</v>
      </c>
      <c r="F16" s="136" t="n">
        <v>43.1</v>
      </c>
      <c r="G16" s="136" t="n">
        <v>79.40000000000001</v>
      </c>
      <c r="H16" s="136" t="n">
        <v>47.6</v>
      </c>
      <c r="I16" s="1" t="n"/>
      <c r="J16" s="37" t="inlineStr">
        <is>
          <t>S008 p172; S007 p144; S006 p156</t>
        </is>
      </c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1" t="n"/>
      <c r="B17" s="1" t="n"/>
      <c r="C17" s="97" t="inlineStr">
        <is>
          <t>Profit/(loss) for the year</t>
        </is>
      </c>
      <c r="D17" s="137">
        <f>D15-D16</f>
        <v/>
      </c>
      <c r="E17" s="137">
        <f>E15-E16</f>
        <v/>
      </c>
      <c r="F17" s="137">
        <f>F15-F16</f>
        <v/>
      </c>
      <c r="G17" s="137">
        <f>G15-G16</f>
        <v/>
      </c>
      <c r="H17" s="137">
        <f>H15-H16</f>
        <v/>
      </c>
      <c r="I17" s="1" t="n"/>
      <c r="J17" s="37" t="inlineStr">
        <is>
          <t>S008 p172; S007 p144; S006 p156</t>
        </is>
      </c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1" t="n"/>
      <c r="B18" s="1" t="n"/>
      <c r="C18" s="52" t="inlineStr">
        <is>
          <t>Statutory EPS (p)</t>
        </is>
      </c>
      <c r="D18" s="136" t="n">
        <v>15.7</v>
      </c>
      <c r="E18" s="136" t="n">
        <v>26.8</v>
      </c>
      <c r="F18" s="136" t="n">
        <v>24.2</v>
      </c>
      <c r="G18" s="136" t="n">
        <v>-33</v>
      </c>
      <c r="H18" s="136" t="n">
        <v>20.1</v>
      </c>
      <c r="I18" s="1" t="n"/>
      <c r="J18" s="37" t="inlineStr">
        <is>
          <t>S008 p172; S007 p144; S006 p156</t>
        </is>
      </c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1" t="n"/>
      <c r="B19" s="1" t="n"/>
      <c r="C19" s="52" t="inlineStr">
        <is>
          <t>Underlying EPS (p)</t>
        </is>
      </c>
      <c r="D19" s="136" t="n">
        <v>20.6</v>
      </c>
      <c r="E19" s="136" t="n">
        <v>26.5</v>
      </c>
      <c r="F19" s="136" t="n">
        <v>29.4</v>
      </c>
      <c r="G19" s="136" t="n">
        <v>26.1</v>
      </c>
      <c r="H19" s="136" t="n">
        <v>31.5</v>
      </c>
      <c r="I19" s="1" t="n"/>
      <c r="J19" s="37" t="inlineStr">
        <is>
          <t>S008 p172; S007 p144; S006 p156</t>
        </is>
      </c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1" t="n"/>
      <c r="B20" s="1" t="n"/>
      <c r="C20" s="52" t="n"/>
      <c r="D20" s="136" t="n"/>
      <c r="E20" s="136" t="n"/>
      <c r="F20" s="136" t="n"/>
      <c r="G20" s="136" t="n"/>
      <c r="H20" s="136" t="n"/>
      <c r="I20" s="1" t="n"/>
      <c r="J20" s="37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A21" s="1" t="n"/>
      <c r="B21" s="1" t="n"/>
      <c r="C21" s="57" t="inlineStr">
        <is>
          <t>Balance sheet</t>
        </is>
      </c>
      <c r="D21" s="138" t="n"/>
      <c r="E21" s="138" t="n"/>
      <c r="F21" s="138" t="n"/>
      <c r="G21" s="138" t="n"/>
      <c r="H21" s="138" t="n"/>
      <c r="I21" s="1" t="n"/>
      <c r="J21" s="37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A22" s="1" t="n"/>
      <c r="B22" s="1" t="n"/>
      <c r="C22" s="52" t="inlineStr">
        <is>
          <t>Cash and cash equivalents</t>
        </is>
      </c>
      <c r="D22" s="136" t="n">
        <v>248.1</v>
      </c>
      <c r="E22" s="136" t="n">
        <v>151.2</v>
      </c>
      <c r="F22" s="136" t="n">
        <v>231</v>
      </c>
      <c r="G22" s="136" t="n">
        <v>290.6</v>
      </c>
      <c r="H22" s="136" t="n">
        <v>259.2</v>
      </c>
      <c r="I22" s="1" t="n"/>
      <c r="J22" s="37" t="inlineStr">
        <is>
          <t>S008 p174; S007 p146; S006 p158</t>
        </is>
      </c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A23" s="1" t="n"/>
      <c r="B23" s="1" t="n"/>
      <c r="C23" s="52" t="inlineStr">
        <is>
          <t>Trade and other receivables</t>
        </is>
      </c>
      <c r="D23" s="136" t="n">
        <v>373.2</v>
      </c>
      <c r="E23" s="136" t="n">
        <v>452.6</v>
      </c>
      <c r="F23" s="136" t="n">
        <v>456.8</v>
      </c>
      <c r="G23" s="136" t="n">
        <v>388.4</v>
      </c>
      <c r="H23" s="136" t="n">
        <v>394.9</v>
      </c>
      <c r="I23" s="1" t="n"/>
      <c r="J23" s="37" t="inlineStr">
        <is>
          <t>S008 p192; S007 p162; S006 p175</t>
        </is>
      </c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>
      <c r="A24" s="1" t="n"/>
      <c r="B24" s="1" t="n"/>
      <c r="C24" s="52" t="inlineStr">
        <is>
          <t>of which: contract assets</t>
        </is>
      </c>
      <c r="D24" s="136" t="n">
        <v>145.8</v>
      </c>
      <c r="E24" s="136" t="n">
        <v>158</v>
      </c>
      <c r="F24" s="136" t="n">
        <v>171.6</v>
      </c>
      <c r="G24" s="136" t="n">
        <v>154.5</v>
      </c>
      <c r="H24" s="136" t="n">
        <v>178.2</v>
      </c>
      <c r="I24" s="1" t="n"/>
      <c r="J24" s="37" t="inlineStr">
        <is>
          <t>S008 p192; S007 p162; S006 p175</t>
        </is>
      </c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>
      <c r="A25" s="1" t="n"/>
      <c r="B25" s="1" t="n"/>
      <c r="C25" s="52" t="inlineStr">
        <is>
          <t>Inventory</t>
        </is>
      </c>
      <c r="D25" s="136" t="n">
        <v>54.9</v>
      </c>
      <c r="E25" s="136" t="n">
        <v>68.8</v>
      </c>
      <c r="F25" s="136" t="n">
        <v>89.2</v>
      </c>
      <c r="G25" s="136" t="n">
        <v>70.7</v>
      </c>
      <c r="H25" s="136" t="n">
        <v>73.7</v>
      </c>
      <c r="I25" s="1" t="n"/>
      <c r="J25" s="37" t="inlineStr">
        <is>
          <t>S008 p174; S007 p146; S006 p158</t>
        </is>
      </c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>
      <c r="A26" s="1" t="n"/>
      <c r="B26" s="1" t="n"/>
      <c r="C26" s="52" t="inlineStr">
        <is>
          <t>Property, plant and equipment</t>
        </is>
      </c>
      <c r="D26" s="136" t="n">
        <v>414.5</v>
      </c>
      <c r="E26" s="136" t="n">
        <v>477.8</v>
      </c>
      <c r="F26" s="136" t="n">
        <v>531.8</v>
      </c>
      <c r="G26" s="136" t="n">
        <v>473.3</v>
      </c>
      <c r="H26" s="136" t="n">
        <v>444.6</v>
      </c>
      <c r="I26" s="1" t="n"/>
      <c r="J26" s="37" t="inlineStr">
        <is>
          <t>S008 p174; S007 p146; S006 p158</t>
        </is>
      </c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>
      <c r="A27" s="1" t="n"/>
      <c r="B27" s="1" t="n"/>
      <c r="C27" s="52" t="inlineStr">
        <is>
          <t>Goodwill and intangible assets</t>
        </is>
      </c>
      <c r="D27" s="136" t="n">
        <v>289.7</v>
      </c>
      <c r="E27" s="136" t="n">
        <v>752</v>
      </c>
      <c r="F27" s="136" t="n">
        <v>723.2</v>
      </c>
      <c r="G27" s="136" t="n">
        <v>543.7</v>
      </c>
      <c r="H27" s="136" t="n">
        <v>486.3</v>
      </c>
      <c r="I27" s="1" t="n"/>
      <c r="J27" s="37" t="inlineStr">
        <is>
          <t>S008 p174; S007 p146; S006 p158</t>
        </is>
      </c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>
      <c r="A28" s="1" t="n"/>
      <c r="B28" s="1" t="n"/>
      <c r="C28" s="97" t="inlineStr">
        <is>
          <t>Total assets</t>
        </is>
      </c>
      <c r="D28" s="137" t="n">
        <v>1768.7</v>
      </c>
      <c r="E28" s="137" t="n">
        <v>2072.1</v>
      </c>
      <c r="F28" s="137" t="n">
        <v>2106.2</v>
      </c>
      <c r="G28" s="137" t="n">
        <v>1828.4</v>
      </c>
      <c r="H28" s="137" t="n">
        <v>1738.4</v>
      </c>
      <c r="I28" s="1" t="n"/>
      <c r="J28" s="37" t="inlineStr">
        <is>
          <t>S008 p174; S007 p146; S006 p158</t>
        </is>
      </c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>
      <c r="A29" s="1" t="n"/>
      <c r="B29" s="1" t="n"/>
      <c r="C29" s="52" t="inlineStr">
        <is>
          <t>Current trade and other payables</t>
        </is>
      </c>
      <c r="D29" s="136" t="n">
        <v>474.7</v>
      </c>
      <c r="E29" s="136" t="n">
        <v>575.2</v>
      </c>
      <c r="F29" s="136" t="n">
        <v>654.7</v>
      </c>
      <c r="G29" s="136" t="n">
        <v>597.5</v>
      </c>
      <c r="H29" s="136" t="n">
        <v>585.6</v>
      </c>
      <c r="I29" s="1" t="n"/>
      <c r="J29" s="37" t="inlineStr">
        <is>
          <t>S008 p174; S007 p146; S006 p158</t>
        </is>
      </c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>
      <c r="A30" s="1" t="n"/>
      <c r="B30" s="1" t="n"/>
      <c r="C30" s="52" t="inlineStr">
        <is>
          <t>of which: current contract liabilities</t>
        </is>
      </c>
      <c r="D30" s="136" t="n">
        <v>182.5</v>
      </c>
      <c r="E30" s="136" t="n">
        <v>216.9</v>
      </c>
      <c r="F30" s="136" t="n">
        <v>212.6</v>
      </c>
      <c r="G30" s="136" t="n">
        <v>207</v>
      </c>
      <c r="H30" s="136" t="n">
        <v>158.3</v>
      </c>
      <c r="I30" s="1" t="n"/>
      <c r="J30" s="37" t="inlineStr">
        <is>
          <t>S008 p193; S007 p163; S006 p176</t>
        </is>
      </c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>
      <c r="A31" s="1" t="n"/>
      <c r="B31" s="1" t="n"/>
      <c r="C31" s="52" t="inlineStr">
        <is>
          <t>Provisions (current and non-current)</t>
        </is>
      </c>
      <c r="D31" s="136" t="n">
        <v>27.1</v>
      </c>
      <c r="E31" s="136" t="n">
        <v>26.8</v>
      </c>
      <c r="F31" s="136" t="n">
        <v>19.5</v>
      </c>
      <c r="G31" s="136" t="n">
        <v>59.7</v>
      </c>
      <c r="H31" s="136" t="n">
        <v>50.7</v>
      </c>
      <c r="I31" s="1" t="n"/>
      <c r="J31" s="37" t="inlineStr">
        <is>
          <t>S008 p174; S007 p146; S006 p158</t>
        </is>
      </c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>
      <c r="A32" s="1" t="n"/>
      <c r="B32" s="1" t="n"/>
      <c r="C32" s="52" t="inlineStr">
        <is>
          <t>Borrowings and other financial liabilities</t>
        </is>
      </c>
      <c r="D32" s="136" t="n">
        <v>24.1</v>
      </c>
      <c r="E32" s="136" t="n">
        <v>370</v>
      </c>
      <c r="F32" s="136" t="n">
        <v>393.3</v>
      </c>
      <c r="G32" s="136" t="n">
        <v>431.7</v>
      </c>
      <c r="H32" s="136" t="n">
        <v>423.9</v>
      </c>
      <c r="I32" s="1" t="n"/>
      <c r="J32" s="37" t="inlineStr">
        <is>
          <t>S008 p174; S007 p146; S006 p158</t>
        </is>
      </c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>
      <c r="A33" s="1" t="n"/>
      <c r="B33" s="1" t="n"/>
      <c r="C33" s="97" t="inlineStr">
        <is>
          <t>Total liabilities</t>
        </is>
      </c>
      <c r="D33" s="137" t="n">
        <v>727.3</v>
      </c>
      <c r="E33" s="137" t="n">
        <v>1103.8</v>
      </c>
      <c r="F33" s="137" t="n">
        <v>1180.1</v>
      </c>
      <c r="G33" s="137" t="n">
        <v>1201.9</v>
      </c>
      <c r="H33" s="137" t="n">
        <v>1185.4</v>
      </c>
      <c r="I33" s="1" t="n"/>
      <c r="J33" s="37" t="inlineStr">
        <is>
          <t>S008 p174; S007 p146; S006 p158</t>
        </is>
      </c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>
      <c r="A34" s="1" t="n"/>
      <c r="B34" s="1" t="n"/>
      <c r="C34" s="97" t="inlineStr">
        <is>
          <t>Total equity</t>
        </is>
      </c>
      <c r="D34" s="137" t="n">
        <v>1041.4</v>
      </c>
      <c r="E34" s="137" t="n">
        <v>968.3</v>
      </c>
      <c r="F34" s="137" t="n">
        <v>926.1</v>
      </c>
      <c r="G34" s="137" t="n">
        <v>626.5</v>
      </c>
      <c r="H34" s="137" t="n">
        <v>553</v>
      </c>
      <c r="I34" s="1" t="n"/>
      <c r="J34" s="37" t="inlineStr">
        <is>
          <t>S008 p174; S007 p146; S006 p158</t>
        </is>
      </c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>
      <c r="A35" s="1" t="n"/>
      <c r="B35" s="1" t="n"/>
      <c r="C35" s="100" t="inlineStr">
        <is>
          <t>Balance-sheet check</t>
        </is>
      </c>
      <c r="D35" s="139">
        <f>ROUND(D28-D33-D34,2)</f>
        <v/>
      </c>
      <c r="E35" s="139">
        <f>ROUND(E28-E33-E34,2)</f>
        <v/>
      </c>
      <c r="F35" s="139">
        <f>ROUND(F28-F33-F34,2)</f>
        <v/>
      </c>
      <c r="G35" s="139">
        <f>ROUND(G28-G33-G34,2)</f>
        <v/>
      </c>
      <c r="H35" s="139">
        <f>ROUND(H28-H33-H34,2)</f>
        <v/>
      </c>
      <c r="I35" s="1" t="n"/>
      <c r="J35" s="37" t="inlineStr">
        <is>
          <t>Calculated: assets - liabilities - equity</t>
        </is>
      </c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>
      <c r="A36" s="1" t="n"/>
      <c r="B36" s="1" t="n"/>
      <c r="C36" s="52" t="n"/>
      <c r="D36" s="136" t="n"/>
      <c r="E36" s="136" t="n"/>
      <c r="F36" s="136" t="n"/>
      <c r="G36" s="136" t="n"/>
      <c r="H36" s="136" t="n"/>
      <c r="I36" s="1" t="n"/>
      <c r="J36" s="37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>
      <c r="A37" s="1" t="n"/>
      <c r="B37" s="1" t="n"/>
      <c r="C37" s="57" t="inlineStr">
        <is>
          <t>Cash-flow statement</t>
        </is>
      </c>
      <c r="D37" s="138" t="n"/>
      <c r="E37" s="138" t="n"/>
      <c r="F37" s="138" t="n"/>
      <c r="G37" s="138" t="n"/>
      <c r="H37" s="138" t="n"/>
      <c r="I37" s="1" t="n"/>
      <c r="J37" s="37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>
      <c r="A38" s="1" t="n"/>
      <c r="B38" s="1" t="n"/>
      <c r="C38" s="52" t="inlineStr">
        <is>
          <t>Profit/(loss) for the year</t>
        </is>
      </c>
      <c r="D38" s="140">
        <f>D17</f>
        <v/>
      </c>
      <c r="E38" s="140">
        <f>E17</f>
        <v/>
      </c>
      <c r="F38" s="140">
        <f>F17</f>
        <v/>
      </c>
      <c r="G38" s="140">
        <f>G17</f>
        <v/>
      </c>
      <c r="H38" s="140">
        <f>H17</f>
        <v/>
      </c>
      <c r="I38" s="1" t="n"/>
      <c r="J38" s="37" t="inlineStr">
        <is>
          <t>S008 p195; S007 p164; S006 pp176-177</t>
        </is>
      </c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>
      <c r="A39" s="1" t="n"/>
      <c r="B39" s="1" t="n"/>
      <c r="C39" s="52" t="inlineStr">
        <is>
          <t>D&amp;A and impairments</t>
        </is>
      </c>
      <c r="D39" s="140">
        <f>D11</f>
        <v/>
      </c>
      <c r="E39" s="140">
        <f>E11</f>
        <v/>
      </c>
      <c r="F39" s="140">
        <f>F11</f>
        <v/>
      </c>
      <c r="G39" s="140">
        <f>G11</f>
        <v/>
      </c>
      <c r="H39" s="140">
        <f>H11</f>
        <v/>
      </c>
      <c r="I39" s="1" t="n"/>
      <c r="J39" s="37" t="inlineStr">
        <is>
          <t>S008 p195; S007 p164; S006 pp176-177</t>
        </is>
      </c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>
      <c r="A40" s="1" t="n"/>
      <c r="B40" s="1" t="n"/>
      <c r="C40" s="52" t="inlineStr">
        <is>
          <t>Change in working capital</t>
        </is>
      </c>
      <c r="D40" s="136" t="n">
        <v>22</v>
      </c>
      <c r="E40" s="136" t="n">
        <v>-7.7</v>
      </c>
      <c r="F40" s="136" t="n">
        <v>9.800000000000001</v>
      </c>
      <c r="G40" s="136" t="n">
        <v>49.8</v>
      </c>
      <c r="H40" s="136" t="n">
        <v>-15.5</v>
      </c>
      <c r="I40" s="1" t="n"/>
      <c r="J40" s="37" t="inlineStr">
        <is>
          <t>S008 p195; S007 p164; S006 pp176-177</t>
        </is>
      </c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>
      <c r="A41" s="1" t="n"/>
      <c r="B41" s="1" t="n"/>
      <c r="C41" s="52" t="inlineStr">
        <is>
          <t>Other operating adjustments, cash tax and interest</t>
        </is>
      </c>
      <c r="D41" s="136" t="n">
        <v>12.7</v>
      </c>
      <c r="E41" s="136" t="n">
        <v>-15.3</v>
      </c>
      <c r="F41" s="136" t="n">
        <v>2.3</v>
      </c>
      <c r="G41" s="136" t="n">
        <v>101.8</v>
      </c>
      <c r="H41" s="136" t="n">
        <v>19.7</v>
      </c>
      <c r="I41" s="1" t="n"/>
      <c r="J41" s="37" t="inlineStr">
        <is>
          <t>S008 p195; S007 p164; S006 pp176-177</t>
        </is>
      </c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>
      <c r="A42" s="1" t="n"/>
      <c r="B42" s="1" t="n"/>
      <c r="C42" s="97" t="inlineStr">
        <is>
          <t>Net cash from operating activities</t>
        </is>
      </c>
      <c r="D42" s="137">
        <f>SUM(D38:D41)</f>
        <v/>
      </c>
      <c r="E42" s="137">
        <f>SUM(E38:E41)</f>
        <v/>
      </c>
      <c r="F42" s="137">
        <f>SUM(F38:F41)</f>
        <v/>
      </c>
      <c r="G42" s="137">
        <f>SUM(G38:G41)</f>
        <v/>
      </c>
      <c r="H42" s="137">
        <f>SUM(H38:H41)</f>
        <v/>
      </c>
      <c r="I42" s="1" t="n"/>
      <c r="J42" s="37" t="inlineStr">
        <is>
          <t>S008 p195; S007 p164; S006 pp176-177</t>
        </is>
      </c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>
      <c r="A43" s="1" t="n"/>
      <c r="B43" s="1" t="n"/>
      <c r="C43" s="52" t="inlineStr">
        <is>
          <t>Capital expenditure</t>
        </is>
      </c>
      <c r="D43" s="136" t="n">
        <v>-84.3</v>
      </c>
      <c r="E43" s="136" t="n">
        <v>-109</v>
      </c>
      <c r="F43" s="136" t="n">
        <v>-96.3</v>
      </c>
      <c r="G43" s="136" t="n">
        <v>-108.8</v>
      </c>
      <c r="H43" s="136" t="n">
        <v>-72.5</v>
      </c>
      <c r="I43" s="1" t="n"/>
      <c r="J43" s="37" t="inlineStr">
        <is>
          <t>S008 p175; S007 p147; S006 p159</t>
        </is>
      </c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>
      <c r="A44" s="1" t="n"/>
      <c r="B44" s="1" t="n"/>
      <c r="C44" s="52" t="inlineStr">
        <is>
          <t>Other investing cash flow</t>
        </is>
      </c>
      <c r="D44" s="136" t="n">
        <v>2.7</v>
      </c>
      <c r="E44" s="136" t="n">
        <v>-355.4</v>
      </c>
      <c r="F44" s="136" t="n">
        <v>-2.8</v>
      </c>
      <c r="G44" s="136" t="n">
        <v>109.2</v>
      </c>
      <c r="H44" s="136" t="n">
        <v>17.9</v>
      </c>
      <c r="I44" s="1" t="n"/>
      <c r="J44" s="37" t="inlineStr">
        <is>
          <t>S008 p175; S007 p147; S006 p159</t>
        </is>
      </c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>
      <c r="A45" s="1" t="n"/>
      <c r="B45" s="1" t="n"/>
      <c r="C45" s="97" t="inlineStr">
        <is>
          <t>Net investing cash flow</t>
        </is>
      </c>
      <c r="D45" s="137">
        <f>SUM(D43:D44)</f>
        <v/>
      </c>
      <c r="E45" s="137">
        <f>SUM(E43:E44)</f>
        <v/>
      </c>
      <c r="F45" s="137">
        <f>SUM(F43:F44)</f>
        <v/>
      </c>
      <c r="G45" s="137">
        <f>SUM(G43:G44)</f>
        <v/>
      </c>
      <c r="H45" s="137">
        <f>SUM(H43:H44)</f>
        <v/>
      </c>
      <c r="I45" s="1" t="n"/>
      <c r="J45" s="37" t="inlineStr">
        <is>
          <t>S008 p175; S007 p147; S006 p159</t>
        </is>
      </c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>
      <c r="A46" s="1" t="n"/>
      <c r="B46" s="1" t="n"/>
      <c r="C46" s="52" t="inlineStr">
        <is>
          <t>Debt, leases, fees and hedges</t>
        </is>
      </c>
      <c r="D46" s="136" t="n">
        <v>-9.4</v>
      </c>
      <c r="E46" s="136" t="n">
        <v>203.1</v>
      </c>
      <c r="F46" s="136" t="n">
        <v>-0.5</v>
      </c>
      <c r="G46" s="136" t="n">
        <v>-1.6</v>
      </c>
      <c r="H46" s="136" t="n">
        <v>-12.6</v>
      </c>
      <c r="I46" s="1" t="n"/>
      <c r="J46" s="37" t="inlineStr">
        <is>
          <t>S008 p175; S007 p147; S006 p159</t>
        </is>
      </c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>
      <c r="A47" s="1" t="n"/>
      <c r="B47" s="1" t="n"/>
      <c r="C47" s="52" t="inlineStr">
        <is>
          <t>Dividends</t>
        </is>
      </c>
      <c r="D47" s="136" t="n">
        <v>-40.2</v>
      </c>
      <c r="E47" s="136" t="n">
        <v>-42.6</v>
      </c>
      <c r="F47" s="136" t="n">
        <v>-45.6</v>
      </c>
      <c r="G47" s="136" t="n">
        <v>-47.9</v>
      </c>
      <c r="H47" s="136" t="n">
        <v>-48.7</v>
      </c>
      <c r="I47" s="1" t="n"/>
      <c r="J47" s="37" t="inlineStr">
        <is>
          <t>S008 p175; S007 p147; S006 p159</t>
        </is>
      </c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>
      <c r="A48" s="1" t="n"/>
      <c r="B48" s="1" t="n"/>
      <c r="C48" s="52" t="inlineStr">
        <is>
          <t>Share buybacks</t>
        </is>
      </c>
      <c r="D48" s="136" t="n">
        <v>-0.8</v>
      </c>
      <c r="E48" s="136" t="n">
        <v>-0.8</v>
      </c>
      <c r="F48" s="136" t="n">
        <v>-17.1</v>
      </c>
      <c r="G48" s="136" t="n">
        <v>-108.9</v>
      </c>
      <c r="H48" s="136" t="n">
        <v>-146.9</v>
      </c>
      <c r="I48" s="1" t="n"/>
      <c r="J48" s="37" t="inlineStr">
        <is>
          <t>S008 p175; S007 p147; S006 p159</t>
        </is>
      </c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>
      <c r="A49" s="1" t="n"/>
      <c r="B49" s="1" t="n"/>
      <c r="C49" s="97" t="inlineStr">
        <is>
          <t>Net financing cash flow</t>
        </is>
      </c>
      <c r="D49" s="137">
        <f>SUM(D46:D48)</f>
        <v/>
      </c>
      <c r="E49" s="137">
        <f>SUM(E46:E48)</f>
        <v/>
      </c>
      <c r="F49" s="137">
        <f>SUM(F46:F48)</f>
        <v/>
      </c>
      <c r="G49" s="137">
        <f>SUM(G46:G48)</f>
        <v/>
      </c>
      <c r="H49" s="137">
        <f>SUM(H46:H48)</f>
        <v/>
      </c>
      <c r="I49" s="1" t="n"/>
      <c r="J49" s="37" t="inlineStr">
        <is>
          <t>S008 p175; S007 p147; S006 p159</t>
        </is>
      </c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>
      <c r="A50" s="1" t="n"/>
      <c r="B50" s="1" t="n"/>
      <c r="C50" s="52" t="inlineStr">
        <is>
          <t>FX impact on cash</t>
        </is>
      </c>
      <c r="D50" s="136" t="n">
        <v>1.3</v>
      </c>
      <c r="E50" s="136" t="n">
        <v>1.8</v>
      </c>
      <c r="F50" s="136" t="n">
        <v>-1</v>
      </c>
      <c r="G50" s="136" t="n">
        <v>-3.7</v>
      </c>
      <c r="H50" s="136" t="n">
        <v>-0.4</v>
      </c>
      <c r="I50" s="1" t="n"/>
      <c r="J50" s="37" t="inlineStr">
        <is>
          <t>S008 p175; S007 p147; S006 p159</t>
        </is>
      </c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>
      <c r="A51" s="1" t="n"/>
      <c r="B51" s="1" t="n"/>
      <c r="C51" s="97" t="inlineStr">
        <is>
          <t>Net change in cash after FX</t>
        </is>
      </c>
      <c r="D51" s="137">
        <f>SUM(D42,D45,D49,D50)</f>
        <v/>
      </c>
      <c r="E51" s="137">
        <f>SUM(E42,E45,E49,E50)</f>
        <v/>
      </c>
      <c r="F51" s="137">
        <f>SUM(F42,F45,F49,F50)</f>
        <v/>
      </c>
      <c r="G51" s="137">
        <f>SUM(G42,G45,G49,G50)</f>
        <v/>
      </c>
      <c r="H51" s="137">
        <f>SUM(H42,H45,H49,H50)</f>
        <v/>
      </c>
      <c r="I51" s="1" t="n"/>
      <c r="J51" s="37" t="inlineStr">
        <is>
          <t>S008 p175; S007 p147; S006 p159</t>
        </is>
      </c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>
      <c r="A52" s="1" t="n"/>
      <c r="B52" s="1" t="n"/>
      <c r="C52" s="100" t="inlineStr">
        <is>
          <t>Cash-flow check</t>
        </is>
      </c>
      <c r="D52" s="139" t="n"/>
      <c r="E52" s="139">
        <f>ROUND(E22-D22-E51,2)</f>
        <v/>
      </c>
      <c r="F52" s="139">
        <f>ROUND(F22-E22-F51,2)</f>
        <v/>
      </c>
      <c r="G52" s="139">
        <f>ROUND(G22-F22-G51,2)</f>
        <v/>
      </c>
      <c r="H52" s="139">
        <f>ROUND(H22-G22-H51,2)</f>
        <v/>
      </c>
      <c r="I52" s="1" t="n"/>
      <c r="J52" s="37" t="inlineStr">
        <is>
          <t>Calculated: cash movement vs balance sheet</t>
        </is>
      </c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>
      <c r="A53" s="1" t="n"/>
      <c r="B53" s="1" t="n"/>
      <c r="C53" s="52" t="n"/>
      <c r="D53" s="67" t="n"/>
      <c r="E53" s="67" t="n"/>
      <c r="F53" s="67" t="n"/>
      <c r="G53" s="67" t="n"/>
      <c r="H53" s="67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>
      <c r="A54" s="1" t="n"/>
      <c r="B54" s="1" t="n"/>
      <c r="C54" s="52" t="n"/>
      <c r="D54" s="67" t="n"/>
      <c r="E54" s="67" t="n"/>
      <c r="F54" s="67" t="n"/>
      <c r="G54" s="67" t="n"/>
      <c r="H54" s="67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>
      <c r="A55" s="1" t="n"/>
      <c r="B55" s="1" t="n"/>
      <c r="C55" s="52" t="n"/>
      <c r="D55" s="67" t="n"/>
      <c r="E55" s="67" t="n"/>
      <c r="F55" s="67" t="n"/>
      <c r="G55" s="67" t="n"/>
      <c r="H55" s="67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>
      <c r="A56" s="1" t="n"/>
      <c r="B56" s="1" t="n"/>
      <c r="C56" s="52" t="n"/>
      <c r="D56" s="67" t="n"/>
      <c r="E56" s="67" t="n"/>
      <c r="F56" s="67" t="n"/>
      <c r="G56" s="67" t="n"/>
      <c r="H56" s="67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>
      <c r="A57" s="1" t="n"/>
      <c r="B57" s="1" t="n"/>
      <c r="C57" s="52" t="n"/>
      <c r="D57" s="67" t="n"/>
      <c r="E57" s="67" t="n"/>
      <c r="F57" s="67" t="n"/>
      <c r="G57" s="67" t="n"/>
      <c r="H57" s="67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>
      <c r="A58" s="1" t="n"/>
      <c r="B58" s="1" t="n"/>
      <c r="C58" s="52" t="n"/>
      <c r="D58" s="67" t="n"/>
      <c r="E58" s="67" t="n"/>
      <c r="F58" s="67" t="n"/>
      <c r="G58" s="67" t="n"/>
      <c r="H58" s="67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>
      <c r="A59" s="1" t="n"/>
      <c r="B59" s="1" t="n"/>
      <c r="C59" s="52" t="n"/>
      <c r="D59" s="67" t="n"/>
      <c r="E59" s="67" t="n"/>
      <c r="F59" s="67" t="n"/>
      <c r="G59" s="67" t="n"/>
      <c r="H59" s="67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>
      <c r="A60" s="1" t="n"/>
      <c r="B60" s="1" t="n"/>
      <c r="C60" s="52" t="n"/>
      <c r="D60" s="67" t="n"/>
      <c r="E60" s="67" t="n"/>
      <c r="F60" s="67" t="n"/>
      <c r="G60" s="67" t="n"/>
      <c r="H60" s="67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A5A5A5"/>
    <outlinePr summaryBelow="1" summaryRight="1"/>
    <pageSetUpPr/>
  </sheetPr>
  <dimension ref="A1:Z100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3" customWidth="1" min="1" max="1"/>
    <col width="3" customWidth="1" min="2" max="2"/>
    <col width="10" customWidth="1" min="3" max="3"/>
    <col width="34" customWidth="1" min="4" max="4"/>
    <col width="16" customWidth="1" min="5" max="5"/>
    <col width="50" customWidth="1" min="6" max="6"/>
    <col width="28" customWidth="1" min="7" max="7"/>
    <col width="75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1" t="n"/>
      <c r="B2" s="1" t="n"/>
      <c r="C2" s="26" t="inlineStr">
        <is>
          <t>Sources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1" t="n"/>
      <c r="B3" s="1" t="n"/>
      <c r="C3" s="27" t="n"/>
      <c r="D3" s="27" t="n"/>
      <c r="E3" s="27" t="n"/>
      <c r="F3" s="27" t="n"/>
      <c r="G3" s="27" t="n"/>
      <c r="H3" s="27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1" t="n"/>
      <c r="B4" s="1" t="n"/>
      <c r="C4" s="28" t="inlineStr">
        <is>
          <t>Primary documents used for historical data and current guidance</t>
        </is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2" customHeight="1">
      <c r="A6" s="1" t="n"/>
      <c r="B6" s="1" t="n"/>
      <c r="C6" s="17" t="inlineStr">
        <is>
          <t>ID</t>
        </is>
      </c>
      <c r="D6" s="29" t="inlineStr">
        <is>
          <t>Document</t>
        </is>
      </c>
      <c r="E6" s="29" t="inlineStr">
        <is>
          <t>Document date</t>
        </is>
      </c>
      <c r="F6" s="29" t="inlineStr">
        <is>
          <t>Used for</t>
        </is>
      </c>
      <c r="G6" s="29" t="inlineStr">
        <is>
          <t>Page / section</t>
        </is>
      </c>
      <c r="H6" s="18" t="inlineStr">
        <is>
          <t>URL</t>
        </is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34" customHeight="1">
      <c r="A7" s="1" t="n"/>
      <c r="B7" s="1" t="n"/>
      <c r="C7" s="49" t="inlineStr">
        <is>
          <t>S001</t>
        </is>
      </c>
      <c r="D7" s="7" t="inlineStr">
        <is>
          <t>FY26 Group Performance</t>
        </is>
      </c>
      <c r="E7" s="141" t="n">
        <v>46163</v>
      </c>
      <c r="F7" s="7" t="inlineStr">
        <is>
          <t>FY26 KPIs, outlook, backlog, capital allocation and US review</t>
        </is>
      </c>
      <c r="G7" s="51" t="inlineStr">
        <is>
          <t>FY26 results and outlook</t>
        </is>
      </c>
      <c r="H7" s="51" t="inlineStr">
        <is>
          <t>https://www.qinetiq.com/en/news/fy26-group-performance</t>
        </is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34" customHeight="1">
      <c r="A8" s="1" t="n"/>
      <c r="B8" s="1" t="n"/>
      <c r="C8" s="49" t="inlineStr">
        <is>
          <t>S002</t>
        </is>
      </c>
      <c r="D8" s="7" t="inlineStr">
        <is>
          <t>FY27 Q1 Trading Update</t>
        </is>
      </c>
      <c r="E8" s="141" t="n">
        <v>46219</v>
      </c>
      <c r="F8" s="7" t="inlineStr">
        <is>
          <t>Current guidance and US review timing</t>
        </is>
      </c>
      <c r="G8" s="51" t="inlineStr">
        <is>
          <t>Trading update</t>
        </is>
      </c>
      <c r="H8" s="51" t="inlineStr">
        <is>
          <t>https://www.qinetiq.com/en/news/q1-trading-update</t>
        </is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34" customHeight="1">
      <c r="A9" s="1" t="n"/>
      <c r="B9" s="1" t="n"/>
      <c r="C9" s="49" t="inlineStr">
        <is>
          <t>S003</t>
        </is>
      </c>
      <c r="D9" s="7" t="inlineStr">
        <is>
          <t>About the LTPA</t>
        </is>
      </c>
      <c r="E9" s="141" t="n"/>
      <c r="F9" s="7" t="inlineStr">
        <is>
          <t>LTPA structure, sites and barriers to entry</t>
        </is>
      </c>
      <c r="G9" s="51" t="inlineStr">
        <is>
          <t>About the LTPA</t>
        </is>
      </c>
      <c r="H9" s="51" t="inlineStr">
        <is>
          <t>https://www.qinetiq.com/en/what-we-do/test-and-training/test-and-evaluation/about-the-ltpa</t>
        </is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34" customHeight="1">
      <c r="A10" s="1" t="n"/>
      <c r="B10" s="1" t="n"/>
      <c r="C10" s="49" t="inlineStr">
        <is>
          <t>S004</t>
        </is>
      </c>
      <c r="D10" s="7" t="inlineStr">
        <is>
          <t>FY26 Full-Year Results</t>
        </is>
      </c>
      <c r="E10" s="141" t="n">
        <v>46163</v>
      </c>
      <c r="F10" s="7" t="inlineStr">
        <is>
          <t>Segments, orders, backlog, adjustments and accounting</t>
        </is>
      </c>
      <c r="G10" s="51" t="inlineStr">
        <is>
          <t>pp.3-15 and 23-36</t>
        </is>
      </c>
      <c r="H10" s="51" t="inlineStr">
        <is>
          <t>https://www.rns-pdf.londonstockexchange.com/rns/1743F_1-2026-5-20.pdf</t>
        </is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34" customHeight="1">
      <c r="A11" s="1" t="n"/>
      <c r="B11" s="1" t="n"/>
      <c r="C11" s="49" t="inlineStr">
        <is>
          <t>S005</t>
        </is>
      </c>
      <c r="D11" s="7" t="inlineStr">
        <is>
          <t>UK Parliament report on QinetiQ privatisation</t>
        </is>
      </c>
      <c r="E11" s="141" t="n">
        <v>39609</v>
      </c>
      <c r="F11" s="7" t="inlineStr">
        <is>
          <t>Company origins and DERA separation</t>
        </is>
      </c>
      <c r="G11" s="51" t="inlineStr">
        <is>
          <t>Paragraphs 1-3</t>
        </is>
      </c>
      <c r="H11" s="51" t="inlineStr">
        <is>
          <t>https://publications.parliament.uk/pa/cm200708/cmselect/cmpubacc/151/15105.htm</t>
        </is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34" customHeight="1">
      <c r="A12" s="1" t="n"/>
      <c r="B12" s="1" t="n"/>
      <c r="C12" s="49" t="inlineStr">
        <is>
          <t>S006</t>
        </is>
      </c>
      <c r="D12" s="7" t="inlineStr">
        <is>
          <t>Annual Report and Accounts 2026</t>
        </is>
      </c>
      <c r="E12" s="141" t="n">
        <v>46163</v>
      </c>
      <c r="F12" s="7" t="inlineStr">
        <is>
          <t>Five-year summary, customer mix and detailed accounts</t>
        </is>
      </c>
      <c r="G12" s="51" t="inlineStr">
        <is>
          <t>pp.31, 159-160 and 216-217</t>
        </is>
      </c>
      <c r="H12" s="51" t="inlineStr">
        <is>
          <t>https://companiesmarketcap.com/annual-reports/56328.ar.en.2026.pdf</t>
        </is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1" t="n"/>
      <c r="B13" s="1" t="n"/>
      <c r="C13" s="123" t="inlineStr">
        <is>
          <t>S007</t>
        </is>
      </c>
      <c r="D13" s="124" t="inlineStr">
        <is>
          <t>Annual Report and Accounts 2025</t>
        </is>
      </c>
      <c r="E13" s="142" t="n">
        <v>45799</v>
      </c>
      <c r="F13" s="124" t="inlineStr">
        <is>
          <t>FY24-FY25 audited statements and cash-flow reconciliation</t>
        </is>
      </c>
      <c r="G13" s="124" t="inlineStr">
        <is>
          <t>pp.144, 146-147 and 162-164</t>
        </is>
      </c>
      <c r="H13" s="124" t="inlineStr">
        <is>
          <t>https://www.qinetiq.com/-/media/7bd40d12009a456282f3aa28fff305ab.ashx</t>
        </is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1" t="n"/>
      <c r="B14" s="1" t="n"/>
      <c r="C14" s="123" t="inlineStr">
        <is>
          <t>S008</t>
        </is>
      </c>
      <c r="D14" s="124" t="inlineStr">
        <is>
          <t>Annual Report and Accounts 2023</t>
        </is>
      </c>
      <c r="E14" s="142" t="n">
        <v>45071</v>
      </c>
      <c r="F14" s="124" t="inlineStr">
        <is>
          <t>FY22-FY23 restated audited statements and cash-flow reconciliation</t>
        </is>
      </c>
      <c r="G14" s="124" t="inlineStr">
        <is>
          <t>pp.172, 174-175 and 192-195</t>
        </is>
      </c>
      <c r="H14" s="124" t="inlineStr">
        <is>
          <t>https://www.annualreports.com/HostedData/AnnualReportArchive/q/LSE_QQ.L_2023.pdf</t>
        </is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4" customHeight="1">
      <c r="A1" s="143" t="inlineStr">
        <is>
          <t>QinetiQ Base-Case Forecast</t>
        </is>
      </c>
    </row>
    <row r="2">
      <c r="A2" s="144" t="inlineStr">
        <is>
          <t>Retain Global Solutions with limited improvement | £m except percentages</t>
        </is>
      </c>
    </row>
    <row r="4">
      <c r="A4" s="145" t="inlineStr">
        <is>
          <t>Forecast assumptions</t>
        </is>
      </c>
    </row>
    <row r="5">
      <c r="A5" s="146" t="inlineStr">
        <is>
          <t>Assumption</t>
        </is>
      </c>
      <c r="B5" s="147" t="inlineStr">
        <is>
          <t>FY27E</t>
        </is>
      </c>
      <c r="C5" s="147" t="inlineStr">
        <is>
          <t>FY28E</t>
        </is>
      </c>
      <c r="D5" s="147" t="inlineStr">
        <is>
          <t>FY29E</t>
        </is>
      </c>
      <c r="E5" s="147" t="inlineStr">
        <is>
          <t>FY30E</t>
        </is>
      </c>
      <c r="F5" s="147" t="inlineStr">
        <is>
          <t>FY31E</t>
        </is>
      </c>
    </row>
    <row r="6">
      <c r="A6" s="148" t="inlineStr">
        <is>
          <t>EMEA revenue growth</t>
        </is>
      </c>
      <c r="B6" s="149" t="n">
        <v>0.05</v>
      </c>
      <c r="C6" s="149" t="n">
        <v>0.05</v>
      </c>
      <c r="D6" s="149" t="n">
        <v>0.045</v>
      </c>
      <c r="E6" s="149" t="n">
        <v>0.04</v>
      </c>
      <c r="F6" s="149" t="n">
        <v>0.035</v>
      </c>
    </row>
    <row r="7">
      <c r="A7" s="148" t="inlineStr">
        <is>
          <t>Global Solutions revenue growth</t>
        </is>
      </c>
      <c r="B7" s="149" t="n">
        <v>0</v>
      </c>
      <c r="C7" s="149" t="n">
        <v>0.02</v>
      </c>
      <c r="D7" s="149" t="n">
        <v>0.03</v>
      </c>
      <c r="E7" s="149" t="n">
        <v>0.03</v>
      </c>
      <c r="F7" s="149" t="n">
        <v>0.03</v>
      </c>
    </row>
    <row r="8">
      <c r="A8" s="148" t="inlineStr">
        <is>
          <t>EMEA operating margin</t>
        </is>
      </c>
      <c r="B8" s="149" t="n">
        <v>0.119</v>
      </c>
      <c r="C8" s="149" t="n">
        <v>0.12</v>
      </c>
      <c r="D8" s="149" t="n">
        <v>0.121</v>
      </c>
      <c r="E8" s="149" t="n">
        <v>0.121</v>
      </c>
      <c r="F8" s="149" t="n">
        <v>0.12</v>
      </c>
    </row>
    <row r="9">
      <c r="A9" s="148" t="inlineStr">
        <is>
          <t>Global Solutions operating margin</t>
        </is>
      </c>
      <c r="B9" s="149" t="n">
        <v>0.08500000000000001</v>
      </c>
      <c r="C9" s="149" t="n">
        <v>0.09</v>
      </c>
      <c r="D9" s="149" t="n">
        <v>0.095</v>
      </c>
      <c r="E9" s="149" t="n">
        <v>0.098</v>
      </c>
      <c r="F9" s="149" t="n">
        <v>0.1</v>
      </c>
    </row>
    <row r="11">
      <c r="A11" s="150" t="inlineStr">
        <is>
          <t>FY26A segment revenue starting points: EMEA £1,529.2m; Global Solutions £393.4m. Forecast assumptions are sourced from research/forecast_assumptions.md.</t>
        </is>
      </c>
    </row>
    <row r="13">
      <c r="A13" s="145" t="inlineStr">
        <is>
          <t>Calculated forecast</t>
        </is>
      </c>
    </row>
    <row r="14">
      <c r="A14" s="146" t="inlineStr">
        <is>
          <t>£m except percentages</t>
        </is>
      </c>
      <c r="B14" s="147" t="inlineStr">
        <is>
          <t>FY26A</t>
        </is>
      </c>
      <c r="C14" s="147" t="inlineStr">
        <is>
          <t>FY27E</t>
        </is>
      </c>
      <c r="D14" s="147" t="inlineStr">
        <is>
          <t>FY28E</t>
        </is>
      </c>
      <c r="E14" s="147" t="inlineStr">
        <is>
          <t>FY29E</t>
        </is>
      </c>
      <c r="F14" s="147" t="inlineStr">
        <is>
          <t>FY30E</t>
        </is>
      </c>
      <c r="G14" s="147" t="inlineStr">
        <is>
          <t>FY31E</t>
        </is>
      </c>
    </row>
    <row r="15">
      <c r="A15" s="148" t="inlineStr">
        <is>
          <t>EMEA revenue</t>
        </is>
      </c>
      <c r="B15" s="151" t="n">
        <v>1529.2</v>
      </c>
      <c r="C15" s="152">
        <f>B15*(1+B$6)</f>
        <v/>
      </c>
      <c r="D15" s="152">
        <f>C15*(1+C$6)</f>
        <v/>
      </c>
      <c r="E15" s="152">
        <f>D15*(1+D$6)</f>
        <v/>
      </c>
      <c r="F15" s="152">
        <f>E15*(1+E$6)</f>
        <v/>
      </c>
      <c r="G15" s="152">
        <f>F15*(1+F$6)</f>
        <v/>
      </c>
    </row>
    <row r="16">
      <c r="A16" s="148" t="inlineStr">
        <is>
          <t>Global Solutions revenue</t>
        </is>
      </c>
      <c r="B16" s="151" t="n">
        <v>393.4</v>
      </c>
      <c r="C16" s="152">
        <f>B16*(1+B$7)</f>
        <v/>
      </c>
      <c r="D16" s="152">
        <f>C16*(1+C$7)</f>
        <v/>
      </c>
      <c r="E16" s="152">
        <f>D16*(1+D$7)</f>
        <v/>
      </c>
      <c r="F16" s="152">
        <f>E16*(1+E$7)</f>
        <v/>
      </c>
      <c r="G16" s="152">
        <f>F16*(1+F$7)</f>
        <v/>
      </c>
    </row>
    <row r="17">
      <c r="A17" s="153" t="inlineStr">
        <is>
          <t>Group revenue</t>
        </is>
      </c>
      <c r="B17" s="154">
        <f>SUM(B15:B16)</f>
        <v/>
      </c>
      <c r="C17" s="154">
        <f>SUM(C15:C16)</f>
        <v/>
      </c>
      <c r="D17" s="154">
        <f>SUM(D15:D16)</f>
        <v/>
      </c>
      <c r="E17" s="154">
        <f>SUM(E15:E16)</f>
        <v/>
      </c>
      <c r="F17" s="154">
        <f>SUM(F15:F16)</f>
        <v/>
      </c>
      <c r="G17" s="154">
        <f>SUM(G15:G16)</f>
        <v/>
      </c>
    </row>
    <row r="18">
      <c r="A18" s="148" t="inlineStr">
        <is>
          <t>Group revenue growth</t>
        </is>
      </c>
      <c r="B18" s="155" t="n"/>
      <c r="C18" s="155">
        <f>C17/B17-1</f>
        <v/>
      </c>
      <c r="D18" s="155">
        <f>D17/C17-1</f>
        <v/>
      </c>
      <c r="E18" s="155">
        <f>E17/D17-1</f>
        <v/>
      </c>
      <c r="F18" s="155">
        <f>F17/E17-1</f>
        <v/>
      </c>
      <c r="G18" s="155">
        <f>G17/F17-1</f>
        <v/>
      </c>
    </row>
    <row r="19">
      <c r="A19" s="148" t="n"/>
      <c r="B19" s="148" t="n"/>
      <c r="C19" s="148" t="n"/>
      <c r="D19" s="148" t="n"/>
      <c r="E19" s="148" t="n"/>
      <c r="F19" s="148" t="n"/>
      <c r="G19" s="148" t="n"/>
    </row>
    <row r="20">
      <c r="A20" s="148" t="inlineStr">
        <is>
          <t>EMEA operating profit</t>
        </is>
      </c>
      <c r="B20" s="152" t="n"/>
      <c r="C20" s="152">
        <f>C15*B$8</f>
        <v/>
      </c>
      <c r="D20" s="152">
        <f>D15*C$8</f>
        <v/>
      </c>
      <c r="E20" s="152">
        <f>E15*D$8</f>
        <v/>
      </c>
      <c r="F20" s="152">
        <f>F15*E$8</f>
        <v/>
      </c>
      <c r="G20" s="152">
        <f>G15*F$8</f>
        <v/>
      </c>
    </row>
    <row r="21">
      <c r="A21" s="148" t="inlineStr">
        <is>
          <t>Global Solutions operating profit</t>
        </is>
      </c>
      <c r="B21" s="152" t="n"/>
      <c r="C21" s="152">
        <f>C16*B$9</f>
        <v/>
      </c>
      <c r="D21" s="152">
        <f>D16*C$9</f>
        <v/>
      </c>
      <c r="E21" s="152">
        <f>E16*D$9</f>
        <v/>
      </c>
      <c r="F21" s="152">
        <f>F16*E$9</f>
        <v/>
      </c>
      <c r="G21" s="152">
        <f>G16*F$9</f>
        <v/>
      </c>
    </row>
    <row r="22">
      <c r="A22" s="153" t="inlineStr">
        <is>
          <t>Group operating profit</t>
        </is>
      </c>
      <c r="B22" s="154" t="n"/>
      <c r="C22" s="154">
        <f>SUM(C20:C21)</f>
        <v/>
      </c>
      <c r="D22" s="154">
        <f>SUM(D20:D21)</f>
        <v/>
      </c>
      <c r="E22" s="154">
        <f>SUM(E20:E21)</f>
        <v/>
      </c>
      <c r="F22" s="154">
        <f>SUM(F20:F21)</f>
        <v/>
      </c>
      <c r="G22" s="154">
        <f>SUM(G20:G21)</f>
        <v/>
      </c>
    </row>
    <row r="23">
      <c r="A23" s="153" t="inlineStr">
        <is>
          <t>Group operating margin</t>
        </is>
      </c>
      <c r="B23" s="156" t="n"/>
      <c r="C23" s="156">
        <f>C22/C17</f>
        <v/>
      </c>
      <c r="D23" s="156">
        <f>D22/D17</f>
        <v/>
      </c>
      <c r="E23" s="156">
        <f>E22/E17</f>
        <v/>
      </c>
      <c r="F23" s="156">
        <f>F22/F17</f>
        <v/>
      </c>
      <c r="G23" s="156">
        <f>G22/G17</f>
        <v/>
      </c>
    </row>
    <row r="25">
      <c r="A25" s="145" t="inlineStr">
        <is>
          <t>Model checks</t>
        </is>
      </c>
    </row>
    <row r="26">
      <c r="A26" t="inlineStr">
        <is>
          <t>Revenue build check</t>
        </is>
      </c>
      <c r="C26" s="157">
        <f>C17-SUM(C15:C16)</f>
        <v/>
      </c>
      <c r="D26" s="157">
        <f>D17-SUM(D15:D16)</f>
        <v/>
      </c>
      <c r="E26" s="157">
        <f>E17-SUM(E15:E16)</f>
        <v/>
      </c>
      <c r="F26" s="157">
        <f>F17-SUM(F15:F16)</f>
        <v/>
      </c>
      <c r="G26" s="157">
        <f>G17-SUM(G15:G16)</f>
        <v/>
      </c>
    </row>
    <row r="27">
      <c r="A27" t="inlineStr">
        <is>
          <t>Operating profit build check</t>
        </is>
      </c>
      <c r="C27" s="157">
        <f>C22-SUM(C20:C21)</f>
        <v/>
      </c>
      <c r="D27" s="157">
        <f>D22-SUM(D20:D21)</f>
        <v/>
      </c>
      <c r="E27" s="157">
        <f>E22-SUM(E20:E21)</f>
        <v/>
      </c>
      <c r="F27" s="157">
        <f>F22-SUM(F20:F21)</f>
        <v/>
      </c>
      <c r="G27" s="157">
        <f>G22-SUM(G20:G21)</f>
        <v/>
      </c>
    </row>
  </sheetData>
  <autoFilter ref="A14:G23"/>
  <mergeCells count="6">
    <mergeCell ref="A13:G13"/>
    <mergeCell ref="A1:G1"/>
    <mergeCell ref="A2:G2"/>
    <mergeCell ref="A4:F4"/>
    <mergeCell ref="A25:G25"/>
    <mergeCell ref="A11:G11"/>
  </mergeCells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2026-09-14T19:04:30Z</dcterms:created>
  <dcterms:modified xsi:type="dcterms:W3CDTF">2026-09-14T19:04:30Z</dcterms:modified>
</cp:coreProperties>
</file>