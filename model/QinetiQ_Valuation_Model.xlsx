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ac259618bb4e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962d4b259f148c5"/>
    <x:sheet xmlns:r="http://schemas.openxmlformats.org/officeDocument/2006/relationships" name="Historical Summary" sheetId="2" r:id="Reabf71765248468e"/>
    <x:sheet xmlns:r="http://schemas.openxmlformats.org/officeDocument/2006/relationships" name="Segments" sheetId="3" r:id="R794de2ba3ec94caf"/>
    <x:sheet xmlns:r="http://schemas.openxmlformats.org/officeDocument/2006/relationships" name="Statements" sheetId="4" r:id="R72ed22169d0b4b59"/>
    <x:sheet xmlns:r="http://schemas.openxmlformats.org/officeDocument/2006/relationships" name="Sources" sheetId="5" r:id="Rfaafeabe54994597"/>
    <x:sheet xmlns:r="http://schemas.openxmlformats.org/officeDocument/2006/relationships" name="Forecast" sheetId="6" r:id="R629b11454a6142df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B6" authorId="0">
      <x:text>
        <x:r>
          <x:t>Base-case assumption from research/forecast_assumptions.md</x:t>
        </x:r>
      </x:text>
    </x:comment>
    <x:comment ref="B7" authorId="0">
      <x:text>
        <x:r>
          <x:t>Base-case assumption from research/forecast_assumptions.md</x:t>
        </x:r>
      </x:text>
    </x:comment>
    <x:comment ref="B8" authorId="0">
      <x:text>
        <x:r>
          <x:t>Base-case assumption from research/forecast_assumptions.md</x:t>
        </x:r>
      </x:text>
    </x:comment>
    <x:comment ref="B9" authorId="0">
      <x:text>
        <x:r>
          <x:t>Base-case assumption from research/forecast_assumptions.md</x:t>
        </x:r>
      </x:text>
    </x:comment>
    <x:comment ref="B15" authorId="0">
      <x:text>
        <x:r>
          <x:t>FY26A segment revenue starting point.</x:t>
        </x:r>
      </x:text>
    </x:comment>
    <x:comment ref="B16" authorId="0">
      <x:text>
        <x:r>
          <x:t>FY26A segment revenue starting point.</x:t>
        </x:r>
      </x:text>
    </x:comment>
    <x:comment ref="C6" authorId="0">
      <x:text>
        <x:r>
          <x:t>Base-case assumption from research/forecast_assumptions.md</x:t>
        </x:r>
      </x:text>
    </x:comment>
    <x:comment ref="C7" authorId="0">
      <x:text>
        <x:r>
          <x:t>Base-case assumption from research/forecast_assumptions.md</x:t>
        </x:r>
      </x:text>
    </x:comment>
    <x:comment ref="C8" authorId="0">
      <x:text>
        <x:r>
          <x:t>Base-case assumption from research/forecast_assumptions.md</x:t>
        </x:r>
      </x:text>
    </x:comment>
    <x:comment ref="C9" authorId="0">
      <x:text>
        <x:r>
          <x:t>Base-case assumption from research/forecast_assumptions.md</x:t>
        </x:r>
      </x:text>
    </x:comment>
    <x:comment ref="D6" authorId="0">
      <x:text>
        <x:r>
          <x:t>Base-case assumption from research/forecast_assumptions.md</x:t>
        </x:r>
      </x:text>
    </x:comment>
    <x:comment ref="D7" authorId="0">
      <x:text>
        <x:r>
          <x:t>Base-case assumption from research/forecast_assumptions.md</x:t>
        </x:r>
      </x:text>
    </x:comment>
    <x:comment ref="D8" authorId="0">
      <x:text>
        <x:r>
          <x:t>Base-case assumption from research/forecast_assumptions.md</x:t>
        </x:r>
      </x:text>
    </x:comment>
    <x:comment ref="D9" authorId="0">
      <x:text>
        <x:r>
          <x:t>Base-case assumption from research/forecast_assumptions.md</x:t>
        </x:r>
      </x:text>
    </x:comment>
    <x:comment ref="E6" authorId="0">
      <x:text>
        <x:r>
          <x:t>Base-case assumption from research/forecast_assumptions.md</x:t>
        </x:r>
      </x:text>
    </x:comment>
    <x:comment ref="E7" authorId="0">
      <x:text>
        <x:r>
          <x:t>Base-case assumption from research/forecast_assumptions.md</x:t>
        </x:r>
      </x:text>
    </x:comment>
    <x:comment ref="E8" authorId="0">
      <x:text>
        <x:r>
          <x:t>Base-case assumption from research/forecast_assumptions.md</x:t>
        </x:r>
      </x:text>
    </x:comment>
    <x:comment ref="E9" authorId="0">
      <x:text>
        <x:r>
          <x:t>Base-case assumption from research/forecast_assumptions.md</x:t>
        </x:r>
      </x:text>
    </x:comment>
    <x:comment ref="F6" authorId="0">
      <x:text>
        <x:r>
          <x:t>Base-case assumption from research/forecast_assumptions.md</x:t>
        </x:r>
      </x:text>
    </x:comment>
    <x:comment ref="F7" authorId="0">
      <x:text>
        <x:r>
          <x:t>Base-case assumption from research/forecast_assumptions.md</x:t>
        </x:r>
      </x:text>
    </x:comment>
    <x:comment ref="F8" authorId="0">
      <x:text>
        <x:r>
          <x:t>Base-case assumption from research/forecast_assumptions.md</x:t>
        </x:r>
      </x:text>
    </x:comment>
    <x:comment ref="F9" authorId="0">
      <x:text>
        <x:r>
          <x:t>Base-case assumption from research/forecast_assumptions.md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<x:sst xmlns:x="http://schemas.openxmlformats.org/spreadsheetml/2006/main">
  <x:si>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QinetiQ Valuation and US Strategic Review</x:t>
  </x:si>
  <x:si>
    <x:t xml:space="preserve">Project question</x:t>
  </x:si>
  <x:si>
    <x:t xml:space="preserve">What is QinetiQ worth, and should management retain, restructure or sell the US business?</x:t>
  </x:si>
  <x:si>
    <x:t xml:space="preserve">Version</x:t>
  </x:si>
  <x:si>
    <x:t xml:space="preserve">As of</x:t>
  </x:si>
  <x:si>
    <x:t xml:space="preserve">Current stage</x:t>
  </x:si>
  <x:si>
    <x:t xml:space="preserve">Units</x:t>
  </x:si>
  <x:si>
    <x:t xml:space="preserve">£m except per-share data</x:t>
  </x:si>
  <x:si>
    <x:t xml:space="preserve">Financial-year definition</x:t>
  </x:si>
  <x:si>
    <x:t xml:space="preserve">FY means financial year. QinetiQ's FY26 is the 12 months ended 31 March 2026, covering 1 April 2025 to 31 March 2026.</x:t>
  </x:si>
  <x:si>
    <x:t xml:space="preserve">Sheet</x:t>
  </x:si>
  <x:si>
    <x:t xml:space="preserve">Purpose</x:t>
  </x:si>
  <x:si>
    <x:t xml:space="preserve">Historical Summary</x:t>
  </x:si>
  <x:si>
    <x:t xml:space="preserve">Five-year headline financial and operating trends</x:t>
  </x:si>
  <x:si>
    <x:t xml:space="preserve">Segments</x:t>
  </x:si>
  <x:si>
    <x:t xml:space="preserve">EMEA Services and Global Solutions performance</x:t>
  </x:si>
  <x:si>
    <x:t xml:space="preserve">Statements</x:t>
  </x:si>
  <x:si>
    <x:t xml:space="preserve">Detailed income statement, balance sheet and cash-flow inputs</x:t>
  </x:si>
  <x:si>
    <x:t xml:space="preserve">Sources</x:t>
  </x:si>
  <x:si>
    <x:t xml:space="preserve">Documents, links and page references</x:t>
  </x:si>
  <x:si>
    <x:t xml:space="preserve">Modelling conventions</x:t>
  </x:si>
  <x:si>
    <x:t xml:space="preserve">Blue font: hardcoded source input</x:t>
  </x:si>
  <x:si>
    <x:t xml:space="preserve">Black font: same-sheet formula</x:t>
  </x:si>
  <x:si>
    <x:t xml:space="preserve">Green font: cross-sheet link</x:t>
  </x:si>
  <x:si>
    <x:t xml:space="preserve">Yellow fill: source input still required</x:t>
  </x:si>
  <x:si>
    <x:t xml:space="preserve">FY22-FY26 actual results; £m except EPS and ratios</x:t>
  </x:si>
  <x:si>
    <x:t xml:space="preserve">Metric</x:t>
  </x:si>
  <x:si>
    <x:t xml:space="preserve">FY22</x:t>
  </x:si>
  <x:si>
    <x:t xml:space="preserve">FY23</x:t>
  </x:si>
  <x:si>
    <x:t xml:space="preserve">FY24</x:t>
  </x:si>
  <x:si>
    <x:t xml:space="preserve">FY25</x:t>
  </x:si>
  <x:si>
    <x:t xml:space="preserve">FY26</x:t>
  </x:si>
  <x:si>
    <x:t xml:space="preserve">Source / note</x:t>
  </x:si>
  <x:si>
    <x:t xml:space="preserve">Revenue</x:t>
  </x:si>
  <x:si>
    <x:t xml:space="preserve">S006, p.216</x:t>
  </x:si>
  <x:si>
    <x:t xml:space="preserve">  Revenue growth</x:t>
  </x:si>
  <x:si>
    <x:t xml:space="preserve">Calculated</x:t>
  </x:si>
  <x:si>
    <x:t xml:space="preserve">Segment operating profit</x:t>
  </x:si>
  <x:si>
    <x:t xml:space="preserve">  Segment operating margin</x:t>
  </x:si>
  <x:si>
    <x:t xml:space="preserve">Underlying EPS (p)</x:t>
  </x:si>
  <x:si>
    <x:t xml:space="preserve">Underlying net cash flow from operations</x:t>
  </x:si>
  <x:si>
    <x:t xml:space="preserve">Net cash/(debt)</x:t>
  </x:si>
  <x:si>
    <x:t xml:space="preserve">Orders excluding LTPA amendments/extensions</x:t>
  </x:si>
  <x:si>
    <x:t xml:space="preserve">  Orders/revenue</x:t>
  </x:si>
  <x:si>
    <x:t xml:space="preserve">Calculated; not management's adjusted book-to-bill</x:t>
  </x:si>
  <x:si>
    <x:t xml:space="preserve">Funded order backlog</x:t>
  </x:si>
  <x:si>
    <x:t xml:space="preserve">S001 / S006</x:t>
  </x:si>
  <x:si>
    <x:t xml:space="preserve">Reconciliation checks</x:t>
  </x:si>
  <x:si>
    <x:t xml:space="preserve">FY26 segment revenue difference</x:t>
  </x:si>
  <x:si>
    <x:t xml:space="preserve">FY26 segment operating profit difference</x:t>
  </x:si>
  <x:si>
    <x:t xml:space="preserve">Segment Performance</x:t>
  </x:si>
  <x:si>
    <x:t xml:space="preserve">EMEA Services and Global Solutions; FY22-FY26 actual results (£m)</x:t>
  </x:si>
  <x:si>
    <x:t xml:space="preserve">  Total segment revenue</x:t>
  </x:si>
  <x:si>
    <x:t xml:space="preserve">  EMEA Services</x:t>
  </x:si>
  <x:si>
    <x:t xml:space="preserve">  Global Solutions</x:t>
  </x:si>
  <x:si>
    <x:t xml:space="preserve">  EMEA revenue growth</x:t>
  </x:si>
  <x:si>
    <x:t xml:space="preserve">  Global Solutions revenue growth</x:t>
  </x:si>
  <x:si>
    <x:t xml:space="preserve">Operating profit</x:t>
  </x:si>
  <x:si>
    <x:t xml:space="preserve">  Total segment operating profit</x:t>
  </x:si>
  <x:si>
    <x:t xml:space="preserve">  Group segment margin</x:t>
  </x:si>
  <x:si>
    <x:t xml:space="preserve">  EMEA margin</x:t>
  </x:si>
  <x:si>
    <x:t xml:space="preserve">  Global Solutions margin</x:t>
  </x:si>
  <x:si>
    <x:t xml:space="preserve">Revenue mix</x:t>
  </x:si>
  <x:si>
    <x:t xml:space="preserve">  EMEA share of revenue</x:t>
  </x:si>
  <x:si>
    <x:t xml:space="preserve">Source</x:t>
  </x:si>
  <x:si>
    <x:t xml:space="preserve">QinetiQ Annual Report and Accounts 2026, five-year financial summary, p.216</x:t>
  </x:si>
  <x:si>
    <x:t xml:space="preserve">Detailed Financial Statements</x:t>
  </x:si>
  <x:si>
    <x:t xml:space="preserve">Audited FY22-FY26 consolidated actuals; £m except EPS</x:t>
  </x:si>
  <x:si>
    <x:t xml:space="preserve">Source page</x:t>
  </x:si>
  <x:si>
    <x:t xml:space="preserve">Income statement</x:t>
  </x:si>
  <x:si>
    <x:t xml:space="preserve">S008 p172; S007 p144; S006 p156</x:t>
  </x:si>
  <x:si>
    <x:t xml:space="preserve">Other income</x:t>
  </x:si>
  <x:si>
    <x:t xml:space="preserve">EBITDA</x:t>
  </x:si>
  <x:si>
    <x:t xml:space="preserve">Statutory D&amp;A and non-current asset impairments</x:t>
  </x:si>
  <x:si>
    <x:t xml:space="preserve">Statutory operating profit/(loss)</x:t>
  </x:si>
  <x:si>
    <x:t xml:space="preserve">Underlying operating profit (incl. RDEC)</x:t>
  </x:si>
  <x:si>
    <x:t xml:space="preserve">Net finance and other non-operating expense/(income)</x:t>
  </x:si>
  <x:si>
    <x:t xml:space="preserve">Profit/(loss) before tax</x:t>
  </x:si>
  <x:si>
    <x:t xml:space="preserve">Tax expense/(income)</x:t>
  </x:si>
  <x:si>
    <x:t xml:space="preserve">Profit/(loss) for the year</x:t>
  </x:si>
  <x:si>
    <x:t xml:space="preserve">Statutory EPS (p)</x:t>
  </x:si>
  <x:si>
    <x:t xml:space="preserve">Balance sheet</x:t>
  </x:si>
  <x:si>
    <x:t xml:space="preserve">Cash and cash equivalents</x:t>
  </x:si>
  <x:si>
    <x:t xml:space="preserve">S008 p174; S007 p146; S006 p158</x:t>
  </x:si>
  <x:si>
    <x:t xml:space="preserve">Trade and other receivables</x:t>
  </x:si>
  <x:si>
    <x:t xml:space="preserve">S008 p192; S007 p162; S006 p175</x:t>
  </x:si>
  <x:si>
    <x:t xml:space="preserve">of which: contract assets</x:t>
  </x:si>
  <x:si>
    <x:t xml:space="preserve">Inventory</x:t>
  </x:si>
  <x:si>
    <x:t xml:space="preserve">Property, plant and equipment</x:t>
  </x:si>
  <x:si>
    <x:t xml:space="preserve">Goodwill and intangible assets</x:t>
  </x:si>
  <x:si>
    <x:t xml:space="preserve">Total assets</x:t>
  </x:si>
  <x:si>
    <x:t xml:space="preserve">Current trade and other payables</x:t>
  </x:si>
  <x:si>
    <x:t xml:space="preserve">of which: current contract liabilities</x:t>
  </x:si>
  <x:si>
    <x:t xml:space="preserve">S008 p193; S007 p163; S006 p176</x:t>
  </x:si>
  <x:si>
    <x:t xml:space="preserve">Provisions (current and non-current)</x:t>
  </x:si>
  <x:si>
    <x:t xml:space="preserve">Borrowings and other financial liabilities</x:t>
  </x:si>
  <x:si>
    <x:t xml:space="preserve">Total liabilities</x:t>
  </x:si>
  <x:si>
    <x:t xml:space="preserve">Total equity</x:t>
  </x:si>
  <x:si>
    <x:t xml:space="preserve">Balance-sheet check</x:t>
  </x:si>
  <x:si>
    <x:t xml:space="preserve">Calculated: assets - liabilities - equity</x:t>
  </x:si>
  <x:si>
    <x:t xml:space="preserve">Cash-flow statement</x:t>
  </x:si>
  <x:si>
    <x:t xml:space="preserve">S008 p195; S007 p164; S006 pp176-177</x:t>
  </x:si>
  <x:si>
    <x:t xml:space="preserve">D&amp;A and impairments</x:t>
  </x:si>
  <x:si>
    <x:t xml:space="preserve">Change in working capital</x:t>
  </x:si>
  <x:si>
    <x:t xml:space="preserve">Other operating adjustments, cash tax and interest</x:t>
  </x:si>
  <x:si>
    <x:t xml:space="preserve">Net cash from operating activities</x:t>
  </x:si>
  <x:si>
    <x:t xml:space="preserve">Capital expenditure</x:t>
  </x:si>
  <x:si>
    <x:t xml:space="preserve">S008 p175; S007 p147; S006 p159</x:t>
  </x:si>
  <x:si>
    <x:t xml:space="preserve">Other investing cash flow</x:t>
  </x:si>
  <x:si>
    <x:t xml:space="preserve">Net investing cash flow</x:t>
  </x:si>
  <x:si>
    <x:t xml:space="preserve">Debt, leases, fees and hedges</x:t>
  </x:si>
  <x:si>
    <x:t xml:space="preserve">Dividends</x:t>
  </x:si>
  <x:si>
    <x:t xml:space="preserve">Share buybacks</x:t>
  </x:si>
  <x:si>
    <x:t xml:space="preserve">Net financing cash flow</x:t>
  </x:si>
  <x:si>
    <x:t xml:space="preserve">FX impact on cash</x:t>
  </x:si>
  <x:si>
    <x:t xml:space="preserve">Net change in cash after FX</x:t>
  </x:si>
  <x:si>
    <x:t xml:space="preserve">Cash-flow check</x:t>
  </x:si>
  <x:si>
    <x:t xml:space="preserve">Calculated: cash movement vs balance sheet</x:t>
  </x:si>
  <x:si>
    <x:t xml:space="preserve">Primary documents used for historical data and current guidance</x:t>
  </x:si>
  <x:si>
    <x:t xml:space="preserve">ID</x:t>
  </x:si>
  <x:si>
    <x:t xml:space="preserve">Document</x:t>
  </x:si>
  <x:si>
    <x:t xml:space="preserve">Document date</x:t>
  </x:si>
  <x:si>
    <x:t xml:space="preserve">Used for</x:t>
  </x:si>
  <x:si>
    <x:t xml:space="preserve">Page / section</x:t>
  </x:si>
  <x:si>
    <x:t xml:space="preserve">URL</x:t>
  </x:si>
  <x:si>
    <x:t xml:space="preserve">S001</x:t>
  </x:si>
  <x:si>
    <x:t xml:space="preserve">FY26 Group Performance</x:t>
  </x:si>
  <x:si>
    <x:t xml:space="preserve">FY26 KPIs, outlook, backlog, capital allocation and US review</x:t>
  </x:si>
  <x:si>
    <x:t xml:space="preserve">FY26 results and outlook</x:t>
  </x:si>
  <x:si>
    <x:t xml:space="preserve">https://www.qinetiq.com/en/news/fy26-group-performance</x:t>
  </x:si>
  <x:si>
    <x:t xml:space="preserve">S002</x:t>
  </x:si>
  <x:si>
    <x:t xml:space="preserve">FY27 Q1 Trading Update</x:t>
  </x:si>
  <x:si>
    <x:t xml:space="preserve">Current guidance and US review timing</x:t>
  </x:si>
  <x:si>
    <x:t xml:space="preserve">Trading update</x:t>
  </x:si>
  <x:si>
    <x:t xml:space="preserve">https://www.qinetiq.com/en/news/q1-trading-update</x:t>
  </x:si>
  <x:si>
    <x:t xml:space="preserve">S003</x:t>
  </x:si>
  <x:si>
    <x:t xml:space="preserve">About the LTPA</x:t>
  </x:si>
  <x:si>
    <x:t xml:space="preserve">LTPA structure, sites and barriers to entry</x:t>
  </x:si>
  <x:si>
    <x:t xml:space="preserve">https://www.qinetiq.com/en/what-we-do/test-and-training/test-and-evaluation/about-the-ltpa</x:t>
  </x:si>
  <x:si>
    <x:t xml:space="preserve">S004</x:t>
  </x:si>
  <x:si>
    <x:t xml:space="preserve">FY26 Full-Year Results</x:t>
  </x:si>
  <x:si>
    <x:t xml:space="preserve">Segments, orders, backlog, adjustments and accounting</x:t>
  </x:si>
  <x:si>
    <x:t xml:space="preserve">pp.3-15 and 23-36</x:t>
  </x:si>
  <x:si>
    <x:t xml:space="preserve">https://www.rns-pdf.londonstockexchange.com/rns/1743F_1-2026-5-20.pdf</x:t>
  </x:si>
  <x:si>
    <x:t xml:space="preserve">S005</x:t>
  </x:si>
  <x:si>
    <x:t xml:space="preserve">UK Parliament report on QinetiQ privatisation</x:t>
  </x:si>
  <x:si>
    <x:t xml:space="preserve">Company origins and DERA separation</x:t>
  </x:si>
  <x:si>
    <x:t xml:space="preserve">Paragraphs 1-3</x:t>
  </x:si>
  <x:si>
    <x:t xml:space="preserve">https://publications.parliament.uk/pa/cm200708/cmselect/cmpubacc/151/15105.htm</x:t>
  </x:si>
  <x:si>
    <x:t xml:space="preserve">S006</x:t>
  </x:si>
  <x:si>
    <x:t xml:space="preserve">Annual Report and Accounts 2026</x:t>
  </x:si>
  <x:si>
    <x:t xml:space="preserve">Five-year summary, customer mix and detailed accounts</x:t>
  </x:si>
  <x:si>
    <x:t xml:space="preserve">pp.31, 159-160 and 216-217</x:t>
  </x:si>
  <x:si>
    <x:t xml:space="preserve">https://companiesmarketcap.com/annual-reports/56328.ar.en.2026.pdf</x:t>
  </x:si>
  <x:si>
    <x:t xml:space="preserve">S007</x:t>
  </x:si>
  <x:si>
    <x:t xml:space="preserve">Annual Report and Accounts 2025</x:t>
  </x:si>
  <x:si>
    <x:t xml:space="preserve">FY24-FY25 audited statements and cash-flow reconciliation</x:t>
  </x:si>
  <x:si>
    <x:t xml:space="preserve">pp.144, 146-147 and 162-164</x:t>
  </x:si>
  <x:si>
    <x:t xml:space="preserve">https://www.qinetiq.com/-/media/7bd40d12009a456282f3aa28fff305ab.ashx</x:t>
  </x:si>
  <x:si>
    <x:t xml:space="preserve">S008</x:t>
  </x:si>
  <x:si>
    <x:t xml:space="preserve">Annual Report and Accounts 2023</x:t>
  </x:si>
  <x:si>
    <x:t xml:space="preserve">FY22-FY23 restated audited statements and cash-flow reconciliation</x:t>
  </x:si>
  <x:si>
    <x:t xml:space="preserve">pp.172, 174-175 and 192-195</x:t>
  </x:si>
  <x:si>
    <x:t xml:space="preserve">https://www.annualreports.com/HostedData/AnnualReportArchive/q/LSE_QQ.L_2023.pdf</x:t>
  </x:si>
  <x:si>
    <x:t xml:space="preserve">S009</x:t>
  </x:si>
  <x:si>
    <x:t xml:space="preserve">Annual Report and Accounts 2024</x:t>
  </x:si>
  <x:si>
    <x:t xml:space="preserve">FY24 D&amp;A, tax, capital expenditure and working capital</x:t>
  </x:si>
  <x:si>
    <x:t xml:space="preserve">pp.142-146 and cash-flow note</x:t>
  </x:si>
  <x:si>
    <x:t xml:space="preserve">https://www.annualreports.com/HostedData/AnnualReportArchive/q/LSE_QQ.L_2024.pdf</x:t>
  </x:si>
  <x:si>
    <x:t xml:space="preserve">S010</x:t>
  </x:si>
  <x:si>
    <x:t xml:space="preserve">Annual Report and Accounts 2022</x:t>
  </x:si>
  <x:si>
    <x:t xml:space="preserve">FY22 D&amp;A, tax, capital expenditure and working capital</x:t>
  </x:si>
  <x:si>
    <x:t xml:space="preserve">pp.149-153 and cash-flow note</x:t>
  </x:si>
  <x:si>
    <x:t xml:space="preserve">https://www.annualreports.com/HostedData/AnnualReportArchive/q/LSE_QQ.L_2022.pdf</x:t>
  </x:si>
  <x:si>
    <x:t xml:space="preserve">QinetiQ Base-Case Forecast</x:t>
  </x:si>
  <x:si>
    <x:t xml:space="preserve">Retain Global Solutions with limited improvement | £m except percentages</x:t>
  </x:si>
  <x:si>
    <x:t xml:space="preserve">Forecast assumptions</x:t>
  </x:si>
  <x:si>
    <x:t xml:space="preserve">Assumption</x:t>
  </x:si>
  <x:si>
    <x:t xml:space="preserve">FY27E</x:t>
  </x:si>
  <x:si>
    <x:t xml:space="preserve">FY28E</x:t>
  </x:si>
  <x:si>
    <x:t xml:space="preserve">FY29E</x:t>
  </x:si>
  <x:si>
    <x:t xml:space="preserve">FY30E</x:t>
  </x:si>
  <x:si>
    <x:t xml:space="preserve">FY31E</x:t>
  </x:si>
  <x:si>
    <x:t xml:space="preserve">EMEA revenue growth</x:t>
  </x:si>
  <x:si>
    <x:t xml:space="preserve">Global Solutions revenue growth</x:t>
  </x:si>
  <x:si>
    <x:t xml:space="preserve">EMEA operating margin</x:t>
  </x:si>
  <x:si>
    <x:t xml:space="preserve">Global Solutions operating margin</x:t>
  </x:si>
  <x:si>
    <x:t xml:space="preserve">FY26A segment revenue starting points: EMEA £1,529.2m; Global Solutions £393.4m. Forecast assumptions are sourced from research/forecast_assumptions.md.</x:t>
  </x:si>
  <x:si>
    <x:t xml:space="preserve">Calculated forecast</x:t>
  </x:si>
  <x:si>
    <x:t xml:space="preserve">£m except percentages</x:t>
  </x:si>
  <x:si>
    <x:t xml:space="preserve">FY26A</x:t>
  </x:si>
  <x:si>
    <x:t xml:space="preserve">EMEA revenue</x:t>
  </x:si>
  <x:si>
    <x:t xml:space="preserve">Global Solutions revenue</x:t>
  </x:si>
  <x:si>
    <x:t xml:space="preserve">Group revenue</x:t>
  </x:si>
  <x:si>
    <x:t xml:space="preserve">Group revenue growth</x:t>
  </x:si>
  <x:si>
    <x:t xml:space="preserve">EMEA operating profit</x:t>
  </x:si>
  <x:si>
    <x:t xml:space="preserve">Global Solutions operating profit</x:t>
  </x:si>
  <x:si>
    <x:t xml:space="preserve">Group operating profit</x:t>
  </x:si>
  <x:si>
    <x:t xml:space="preserve">Group operating margin</x:t>
  </x:si>
  <x:si>
    <x:t xml:space="preserve">Model checks</x:t>
  </x:si>
  <x:si>
    <x:t xml:space="preserve">Revenue build check</x:t>
  </x:si>
  <x:si>
    <x:t xml:space="preserve">Operating profit build check</x:t>
  </x:si>
  <x:si>
    <x:t xml:space="preserve">Historical UFCF calibration</x:t>
  </x:si>
  <x:si>
    <x:t xml:space="preserve">FY22A</x:t>
  </x:si>
  <x:si>
    <x:t xml:space="preserve">FY23A</x:t>
  </x:si>
  <x:si>
    <x:t xml:space="preserve">FY24A</x:t>
  </x:si>
  <x:si>
    <x:t xml:space="preserve">FY25A</x:t>
  </x:si>
  <x:si>
    <x:t xml:space="preserve">Underlying D&amp;A (excludes acquisition amortisation and impairments)</x:t>
  </x:si>
  <x:si>
    <x:t xml:space="preserve">Underlying D&amp;A / revenue</x:t>
  </x:si>
  <x:si>
    <x:t xml:space="preserve">Gross capital expenditure</x:t>
  </x:si>
  <x:si>
    <x:t xml:space="preserve">Capital expenditure / revenue</x:t>
  </x:si>
  <x:si>
    <x:t xml:space="preserve">Cash-flow working-capital movement (source positive)</x:t>
  </x:si>
  <x:si>
    <x:t xml:space="preserve">Cash tax paid</x:t>
  </x:si>
  <x:si>
    <x:t xml:space="preserve">Underlying effective tax rate</x:t>
  </x:si>
  <x:si>
    <x:t xml:space="preserve">Source: QinetiQ FY22-FY26 annual reports. D&amp;A is underlying; CapEx is cash purchases of PPE plus intangibles.</x:t>
  </x:si>
  <x:si>
    <x:t xml:space="preserve">UFCF forecast assumptions</x:t>
  </x:si>
  <x:si>
    <x:t xml:space="preserve">Cash tax rate</x:t>
  </x:si>
  <x:si>
    <x:t xml:space="preserve">D&amp;A / revenue</x:t>
  </x:si>
  <x:si>
    <x:t xml:space="preserve">NWC investment / change in revenue</x:t>
  </x:si>
  <x:si>
    <x:t xml:space="preserve">Assumptions are normalized rather than copied from any single year; detailed rationale is in research/forecast_assumptions.md.</x:t>
  </x:si>
  <x:si>
    <x:t xml:space="preserve">Formula-driven UFCF forecast</x:t>
  </x:si>
  <x:si>
    <x:t xml:space="preserve">EBIT (group operating profit)</x:t>
  </x:si>
  <x:si>
    <x:t xml:space="preserve">NOPAT</x:t>
  </x:si>
  <x:si>
    <x:t xml:space="preserve">D&amp;A add-back</x:t>
  </x:si>
  <x:si>
    <x:t xml:space="preserve">Change in net working capital</x:t>
  </x:si>
  <x:si>
    <x:t xml:space="preserve">UFCF</x:t>
  </x:si>
  <x:si>
    <x:t xml:space="preserve">FY27-FY29 cumulative UFCF</x:t>
  </x:si>
  <x:si>
    <x:t xml:space="preserve">Management FY27-FY29 FCF target (sense check)</x:t>
  </x:si>
  <x:si>
    <x:t xml:space="preserve">Headroom / (shortfall)</x:t>
  </x:si>
  <x:si>
    <x:t xml:space="preserve">Note</x:t>
  </x:si>
  <x:si>
    <x:t xml:space="preserve">Management FCF includes interest and exceptional cash items, so this is a directional—not like-for-like—check.</x:t>
  </x:si>
</x:sst>
</file>

<file path=xl/styles.xml><?xml version="1.0" encoding="utf-8"?>
<x:styleSheet xmlns:x="http://schemas.openxmlformats.org/spreadsheetml/2006/main">
  <x:numFmts count="21">
    <x:numFmt numFmtId="164" formatCode="General"/>
    <x:numFmt numFmtId="165" formatCode="dd\-mmm\-yyyy"/>
    <x:numFmt numFmtId="166" formatCode="#,##0.0;\(#,##0.0\);\-"/>
    <x:numFmt numFmtId="167" formatCode="0.0%;\(0.0%\);\-"/>
    <x:numFmt numFmtId="168" formatCode="0.0\x"/>
    <x:numFmt numFmtId="169" formatCode="0.00;\(0.00\);0.00"/>
    <x:numFmt numFmtId="170" formatCode="0.00;\(0.00\);\-"/>
    <x:numFmt numFmtId="171" formatCode="0.0%"/>
    <x:numFmt numFmtId="172" formatCode="#,##0.0;[RED]\(#,##0.0\);\-"/>
    <x:numFmt numFmtId="173" formatCode="0.0;[RED]\(0.0\);\-"/>
    <x:numFmt numFmtId="200" formatCode="dd-mmm-yyyy"/>
    <x:numFmt numFmtId="201" formatCode="0.00x"/>
    <x:numFmt numFmtId="202" formatCode="#,##0.0;(#,##0.0);-"/>
    <x:numFmt numFmtId="203" formatCode="0.0x"/>
    <x:numFmt numFmtId="204" formatCode="£0.00"/>
    <x:numFmt numFmtId="205" formatCode="0.00"/>
    <x:numFmt numFmtId="206" formatCode="0.0;[Red](0.0);-"/>
    <x:numFmt numFmtId="207" formatCode="#,##0.0;[Red](#,##0.0);-"/>
    <x:numFmt numFmtId="208" formatCode="0.000"/>
    <x:numFmt numFmtId="209" formatCode="0.00;[Red](0.00);-"/>
    <x:numFmt numFmtId="210" formatCode="0.000x"/>
  </x:numFmts>
  <x:fonts count="32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i/>
      <x:sz val="9"/>
      <x:color rgb="FF666666"/>
      <x:name val="Arial"/>
    </x:font>
    <x:font>
      <x:b/>
      <x:sz val="10"/>
      <x:color rgb="FF222222"/>
      <x:name val="Arial"/>
    </x:font>
    <x:font>
      <x:sz val="9"/>
      <x:color rgb="FF666666"/>
      <x:name val="Arial"/>
    </x:font>
    <x:font>
      <x:i/>
      <x:sz val="10"/>
      <x:color rgb="FF222222"/>
      <x:name val="Arial"/>
    </x:font>
    <x:font>
      <x:b/>
      <x:sz val="10"/>
      <x:color rgb="FF0000FF"/>
      <x:name val="Arial"/>
    </x:font>
    <x:font>
      <x:b/>
      <x:sz val="10"/>
      <x:color rgb="FF1F4E78"/>
      <x:name val="Arial"/>
    </x:font>
    <x:font>
      <x:b/>
      <x:sz val="14"/>
      <x:color rgb="FFFFFFFF"/>
      <x:name val="Cambria"/>
    </x:font>
    <x:font>
      <x:i/>
      <x:sz val="10"/>
      <x:color rgb="FF666666"/>
      <x:name val="Cambria"/>
    </x:font>
    <x:font>
      <x:b/>
      <x:sz val="11"/>
      <x:color rgb="FFFFFFFF"/>
      <x:name val="Cambria"/>
    </x:font>
    <x:font>
      <x:b/>
      <x:sz val="11"/>
      <x:color rgb="FF17365D"/>
      <x:name val="Cambria"/>
    </x:font>
    <x:font>
      <x:sz val="11"/>
      <x:color rgb="FF0000FF"/>
      <x:name val="Cambria"/>
    </x:font>
    <x:font>
      <x:i/>
      <x:sz val="9"/>
      <x:color rgb="FF666666"/>
      <x:name val="Cambria"/>
    </x:font>
    <x:font>
      <x:b/>
      <x:sz val="11"/>
      <x:color rgb="FF000000"/>
      <x:name val="Cambria"/>
    </x:font>
    <x:font>
      <x:b/>
      <x:sz val="11"/>
      <x:color rgb="FFFFFFFF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i/>
      <x:sz val="9"/>
      <x:color rgb="FF666666"/>
      <x:name val="Arial"/>
    </x:font>
    <x:font>
      <x:b/>
      <x:i/>
      <x:sz val="11"/>
      <x:color rgb="FFFFFFFF"/>
      <x:name val="Arial"/>
    </x:font>
    <x:font>
      <x:b/>
      <x:i/>
      <x:sz val="10"/>
      <x:color rgb="FFFFFFFF"/>
      <x:name val="Arial"/>
    </x:font>
    <x:font>
      <x:sz val="9"/>
      <x:color rgb="FF0000FF"/>
      <x:name val="Arial"/>
    </x:font>
  </x:fonts>
  <x:fills count="4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22">
    <x:border diagonalUp="0" diagonalDown="0"/>
    <x:border diagonalUp="0" diagonalDown="0">
      <x:bottom style="medium">
        <x:color rgb="FF4472C4"/>
      </x:bottom>
    </x:border>
    <x:border diagonalUp="0" diagonalDown="0">
      <x:bottom style="thin">
        <x:color rgb="FF4472C4"/>
      </x:bottom>
    </x:border>
    <x:border diagonalUp="0" diagonalDown="0">
      <x:bottom style="thin">
        <x:color rgb="FFE7E6E6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E7E6E6"/>
      </x:top>
      <x:bottom style="thin">
        <x:color rgb="FFE7E6E6"/>
      </x:bottom>
    </x:border>
    <x:border diagonalUp="0" diagonalDown="0">
      <x:top style="thin">
        <x:color rgb="FFE7E6E6"/>
      </x:top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top style="thin">
        <x:color rgb="FFD9E2F3"/>
      </x:top>
    </x:border>
    <x:border diagonalUp="0" diagonalDown="0">
      <x:bottom style="thin">
        <x:color rgb="FFD9E1F2"/>
      </x:bottom>
    </x:border>
    <x:border diagonalUp="0" diagonalDown="0">
      <x:bottom style="thin">
        <x:color rgb="FFB7C9D6"/>
      </x:bottom>
    </x:border>
    <x:border diagonalUp="0" diagonalDown="0">
      <x:left style="thin">
        <x:color rgb="FFD9E1F2"/>
      </x:left>
      <x:top style="thin">
        <x:color rgb="FFD9E1F2"/>
      </x:top>
      <x:bottom style="hair">
        <x:color rgb="FFD9E1F2"/>
      </x:bottom>
    </x:border>
    <x:border diagonalUp="0" diagonalDown="0">
      <x:top style="thin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thin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hair">
        <x:color rgb="FFD9E1F2"/>
      </x:bottom>
    </x:border>
    <x:border diagonalUp="0" diagonalDown="0">
      <x:top style="hair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thin">
        <x:color rgb="FFD9E1F2"/>
      </x:bottom>
    </x:border>
    <x:border diagonalUp="0" diagonalDown="0">
      <x:top style="hair">
        <x:color rgb="FFD9E1F2"/>
      </x:top>
      <x:bottom style="thin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thin">
        <x:color rgb="FFD9E1F2"/>
      </x:bottom>
    </x:border>
    <x:border diagonalUp="0" diagonalDown="0"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522">
    <x:xf numFmtId="164" fontId="0" fillId="0" borderId="0" xfId="0" applyFont="0" applyBorder="0" applyAlignment="0">
      <x:alignment horizontal="general" vertical="bottom" wrapText="0"/>
    </x:xf>
    <x:xf numFmtId="164" fontId="5" fillId="0" borderId="0" xfId="20" applyFont="1" applyBorder="0" applyAlignment="0">
      <x:alignment horizontal="general" vertical="bottom" wrapText="0"/>
    </x:xf>
    <x:xf numFmtId="164" fontId="6" fillId="0" borderId="0" xfId="20" applyFont="1" applyBorder="0" applyAlignment="0">
      <x:alignment horizontal="general" vertical="bottom" wrapText="0"/>
    </x:xf>
    <x:xf numFmtId="164" fontId="5" fillId="0" borderId="1" xfId="20" applyFont="1" applyBorder="1" applyAlignment="0">
      <x:alignment horizontal="general" vertical="bottom" wrapText="0"/>
    </x:xf>
    <x:xf numFmtId="164" fontId="7" fillId="2" borderId="2" xfId="20" applyFont="1" applyBorder="1" applyAlignment="0">
      <x:alignment horizontal="general" vertical="bottom" wrapText="0"/>
    </x:xf>
    <x:xf numFmtId="164" fontId="5" fillId="0" borderId="0" xfId="20" applyFont="1" applyBorder="1" applyAlignment="1">
      <x:alignment horizontal="left" vertical="center" wrapText="1"/>
    </x:xf>
    <x:xf numFmtId="164" fontId="7" fillId="0" borderId="0" xfId="20" applyFont="1" applyBorder="0" applyAlignment="0">
      <x:alignment horizontal="general" vertical="bottom" wrapText="0"/>
    </x:xf>
    <x:xf numFmtId="165" fontId="5" fillId="0" borderId="0" xfId="20" applyFont="1" applyBorder="0" applyAlignment="0">
      <x:alignment horizontal="general" vertical="bottom" wrapText="0"/>
    </x:xf>
    <x:xf numFmtId="164" fontId="5" fillId="0" borderId="3" xfId="20" applyFont="1" applyBorder="1" applyAlignment="0">
      <x:alignment horizontal="general" vertical="bottom" wrapText="0"/>
    </x:xf>
    <x:xf numFmtId="164" fontId="8" fillId="3" borderId="4" xfId="20" applyFont="1" applyBorder="1" applyAlignment="1">
      <x:alignment horizontal="center" vertical="center" wrapText="0"/>
    </x:xf>
    <x:xf numFmtId="164" fontId="8" fillId="3" borderId="5" xfId="20" applyFont="1" applyBorder="1" applyAlignment="1">
      <x:alignment horizontal="center" vertical="center" wrapText="0"/>
    </x:xf>
    <x:xf numFmtId="164" fontId="7" fillId="0" borderId="3" xfId="20" applyFont="1" applyBorder="1" applyAlignment="0">
      <x:alignment horizontal="general" vertical="bottom" wrapText="0"/>
    </x:xf>
    <x:xf numFmtId="164" fontId="7" fillId="0" borderId="6" xfId="20" applyFont="1" applyBorder="1" applyAlignment="0">
      <x:alignment horizontal="general" vertical="bottom" wrapText="0"/>
    </x:xf>
    <x:xf numFmtId="164" fontId="5" fillId="0" borderId="6" xfId="20" applyFont="1" applyBorder="1" applyAlignment="0">
      <x:alignment horizontal="general" vertical="bottom" wrapText="0"/>
    </x:xf>
    <x:xf numFmtId="164" fontId="7" fillId="0" borderId="7" xfId="20" applyFont="1" applyBorder="1" applyAlignment="0">
      <x:alignment horizontal="general" vertical="bottom" wrapText="0"/>
    </x:xf>
    <x:xf numFmtId="164" fontId="5" fillId="0" borderId="7" xfId="20" applyFont="1" applyBorder="1" applyAlignment="0">
      <x:alignment horizontal="general" vertical="bottom" wrapText="0"/>
    </x:xf>
    <x:xf numFmtId="164" fontId="9" fillId="0" borderId="0" xfId="20" applyFont="1" applyBorder="0" applyAlignment="0">
      <x:alignment horizontal="general" vertical="bottom" wrapText="0"/>
    </x:xf>
    <x:xf numFmtId="164" fontId="10" fillId="0" borderId="0" xfId="20" applyFont="1" applyBorder="0" applyAlignment="0">
      <x:alignment horizontal="general" vertical="bottom" wrapText="0"/>
    </x:xf>
    <x:xf numFmtId="164" fontId="11" fillId="0" borderId="0" xfId="20" applyFont="1" applyBorder="0" applyAlignment="0">
      <x:alignment horizontal="general" vertical="bottom" wrapText="0"/>
    </x:xf>
    <x:xf numFmtId="164" fontId="5" fillId="0" borderId="2" xfId="20" applyFont="1" applyBorder="1" applyAlignment="0">
      <x:alignment horizontal="general" vertical="bottom" wrapText="0"/>
    </x:xf>
    <x:xf numFmtId="164" fontId="12" fillId="0" borderId="0" xfId="20" applyFont="1" applyBorder="0" applyAlignment="0">
      <x:alignment horizontal="general" vertical="bottom" wrapText="0"/>
    </x:xf>
    <x:xf numFmtId="164" fontId="8" fillId="3" borderId="8" xfId="20" applyFont="1" applyBorder="1" applyAlignment="1">
      <x:alignment horizontal="center" vertical="center" wrapText="0"/>
    </x:xf>
    <x:xf numFmtId="164" fontId="13" fillId="4" borderId="0" xfId="20" applyFont="1" applyBorder="0" applyAlignment="1">
      <x:alignment horizontal="center" vertical="bottom" wrapText="0"/>
    </x:xf>
    <x:xf numFmtId="164" fontId="5" fillId="0" borderId="0" xfId="20" applyFont="1" applyBorder="0" applyAlignment="1">
      <x:alignment horizontal="general" vertical="center" wrapText="0"/>
    </x:xf>
    <x:xf numFmtId="166" fontId="9" fillId="0" borderId="0" xfId="20" applyFont="1" applyBorder="0" applyAlignment="1">
      <x:alignment horizontal="right" vertical="center" wrapText="0"/>
    </x:xf>
    <x:xf numFmtId="164" fontId="14" fillId="0" borderId="0" xfId="20" applyFont="1" applyBorder="0" applyAlignment="0">
      <x:alignment horizontal="general" vertical="bottom" wrapText="0"/>
    </x:xf>
    <x:xf numFmtId="164" fontId="15" fillId="0" borderId="0" xfId="20" applyFont="1" applyBorder="0" applyAlignment="1">
      <x:alignment horizontal="general" vertical="center" wrapText="0"/>
    </x:xf>
    <x:xf numFmtId="167" fontId="15" fillId="0" borderId="0" xfId="20" applyFont="1" applyBorder="0" applyAlignment="1">
      <x:alignment horizontal="right" vertical="center" wrapText="0"/>
    </x:xf>
    <x:xf numFmtId="168" fontId="15" fillId="0" borderId="0" xfId="20" applyFont="1" applyBorder="0" applyAlignment="1">
      <x:alignment horizontal="right" vertical="center" wrapText="0"/>
    </x:xf>
    <x:xf numFmtId="164" fontId="5" fillId="0" borderId="0" xfId="20" applyFont="1" applyBorder="0" applyAlignment="1">
      <x:alignment horizontal="right" vertical="center" wrapText="0"/>
    </x:xf>
    <x:xf numFmtId="164" fontId="7" fillId="2" borderId="2" xfId="20" applyFont="1" applyBorder="1" applyAlignment="1">
      <x:alignment horizontal="general" vertical="center" wrapText="0"/>
    </x:xf>
    <x:xf numFmtId="164" fontId="7" fillId="2" borderId="2" xfId="20" applyFont="1" applyBorder="1" applyAlignment="1">
      <x:alignment horizontal="right" vertical="center" wrapText="0"/>
    </x:xf>
    <x:xf numFmtId="164" fontId="5" fillId="0" borderId="3" xfId="20" applyFont="1" applyBorder="1" applyAlignment="1">
      <x:alignment horizontal="general" vertical="center" wrapText="0"/>
    </x:xf>
    <x:xf numFmtId="164" fontId="5" fillId="0" borderId="3" xfId="20" applyFont="1" applyBorder="1" applyAlignment="1">
      <x:alignment horizontal="right" vertical="center" wrapText="0"/>
    </x:xf>
    <x:xf numFmtId="169" fontId="10" fillId="0" borderId="3" xfId="20" applyFont="1" applyBorder="1" applyAlignment="1">
      <x:alignment horizontal="right" vertical="center" wrapText="0"/>
    </x:xf>
    <x:xf numFmtId="164" fontId="5" fillId="0" borderId="7" xfId="20" applyFont="1" applyBorder="1" applyAlignment="1">
      <x:alignment horizontal="general" vertical="center" wrapText="0"/>
    </x:xf>
    <x:xf numFmtId="164" fontId="5" fillId="0" borderId="7" xfId="20" applyFont="1" applyBorder="1" applyAlignment="1">
      <x:alignment horizontal="right" vertical="center" wrapText="0"/>
    </x:xf>
    <x:xf numFmtId="169" fontId="10" fillId="0" borderId="7" xfId="20" applyFont="1" applyBorder="1" applyAlignment="1">
      <x:alignment horizontal="right" vertical="center" wrapText="0"/>
    </x:xf>
    <x:xf numFmtId="166" fontId="5" fillId="0" borderId="0" xfId="20" applyFont="1" applyBorder="0" applyAlignment="1">
      <x:alignment horizontal="right" vertical="center" wrapText="0"/>
    </x:xf>
    <x:xf numFmtId="164" fontId="12" fillId="0" borderId="0" xfId="20" applyFont="1" applyBorder="0" applyAlignment="1">
      <x:alignment horizontal="right" vertical="center" wrapText="0"/>
    </x:xf>
    <x:xf numFmtId="166" fontId="9" fillId="5" borderId="0" xfId="20" applyFont="1" applyBorder="0" applyAlignment="1">
      <x:alignment horizontal="right" vertical="center" wrapText="0"/>
    </x:xf>
    <x:xf numFmtId="164" fontId="13" fillId="0" borderId="9" xfId="20" applyFont="1" applyBorder="1" applyAlignment="1">
      <x:alignment horizontal="general" vertical="center" wrapText="0"/>
    </x:xf>
    <x:xf numFmtId="166" fontId="13" fillId="5" borderId="9" xfId="20" applyFont="1" applyBorder="1" applyAlignment="1">
      <x:alignment horizontal="right" vertical="center" wrapText="0"/>
    </x:xf>
    <x:xf numFmtId="166" fontId="16" fillId="5" borderId="2" xfId="20" applyFont="1" applyBorder="1" applyAlignment="1">
      <x:alignment horizontal="right" vertical="center" wrapText="0"/>
    </x:xf>
    <x:xf numFmtId="164" fontId="17" fillId="0" borderId="9" xfId="20" applyFont="1" applyBorder="1" applyAlignment="1">
      <x:alignment horizontal="general" vertical="center" wrapText="0"/>
    </x:xf>
    <x:xf numFmtId="170" fontId="17" fillId="5" borderId="9" xfId="20" applyFont="1" applyBorder="1" applyAlignment="1">
      <x:alignment horizontal="right" vertical="center" wrapText="0"/>
    </x:xf>
    <x:xf numFmtId="166" fontId="5" fillId="5" borderId="0" xfId="20" applyFont="1" applyBorder="0" applyAlignment="1">
      <x:alignment horizontal="right" vertical="center" wrapText="0"/>
    </x:xf>
    <x:xf numFmtId="164" fontId="7" fillId="0" borderId="0" xfId="20" applyFont="1" applyBorder="0" applyAlignment="1">
      <x:alignment horizontal="general" vertical="bottom" wrapText="1"/>
    </x:xf>
    <x:xf numFmtId="164" fontId="5" fillId="0" borderId="0" xfId="20" applyFont="1" applyBorder="0" applyAlignment="1">
      <x:alignment horizontal="general" vertical="bottom" wrapText="1"/>
    </x:xf>
    <x:xf numFmtId="165" fontId="5" fillId="0" borderId="0" xfId="20" applyFont="1" applyBorder="0" applyAlignment="1">
      <x:alignment horizontal="general" vertical="bottom" wrapText="1"/>
    </x:xf>
    <x:xf numFmtId="164" fontId="9" fillId="0" borderId="0" xfId="20" applyFont="1" applyBorder="0" applyAlignment="1">
      <x:alignment horizontal="general" vertical="bottom" wrapText="1"/>
    </x:xf>
    <x:xf numFmtId="164" fontId="17" fillId="6" borderId="0" xfId="20" applyFont="1" applyBorder="0" applyAlignment="1">
      <x:alignment horizontal="general" vertical="center" wrapText="1"/>
    </x:xf>
    <x:xf numFmtId="164" fontId="5" fillId="6" borderId="0" xfId="20" applyFont="1" applyBorder="0" applyAlignment="1">
      <x:alignment horizontal="general" vertical="center" wrapText="1"/>
    </x:xf>
    <x:xf numFmtId="165" fontId="5" fillId="6" borderId="0" xfId="20" applyFont="1" applyBorder="0" applyAlignment="1">
      <x:alignment horizontal="general" vertical="center" wrapText="1"/>
    </x:xf>
    <x:xf numFmtId="164" fontId="9" fillId="0" borderId="0" xfId="20" applyFont="1" applyBorder="0" applyAlignment="1">
      <x:alignment horizontal="general" vertical="bottom" wrapText="1"/>
    </x:xf>
    <x:xf numFmtId="165" fontId="9" fillId="0" borderId="0" xfId="20" applyFont="1" applyBorder="0" applyAlignment="1">
      <x:alignment horizontal="general" vertical="bottom" wrapText="1"/>
    </x:xf>
    <x:xf numFmtId="164" fontId="9" fillId="0" borderId="10" xfId="20" applyFont="1" applyBorder="1" applyAlignment="1">
      <x:alignment horizontal="general" vertical="bottom" wrapText="1"/>
    </x:xf>
    <x:xf numFmtId="165" fontId="9" fillId="0" borderId="10" xfId="20" applyFont="1" applyBorder="1" applyAlignment="1">
      <x:alignment horizontal="general" vertical="bottom" wrapText="1"/>
    </x:xf>
    <x:xf numFmtId="164" fontId="18" fillId="3" borderId="0" xfId="20" applyFont="1" applyBorder="1" applyAlignment="1">
      <x:alignment horizontal="left" vertical="center" wrapText="0"/>
    </x:xf>
    <x:xf numFmtId="164" fontId="19" fillId="0" borderId="0" xfId="20" applyFont="1" applyBorder="1" applyAlignment="0">
      <x:alignment horizontal="general" vertical="bottom" wrapText="0"/>
    </x:xf>
    <x:xf numFmtId="164" fontId="20" fillId="7" borderId="0" xfId="20" applyFont="1" applyBorder="1" applyAlignment="0">
      <x:alignment horizontal="general" vertical="bottom" wrapText="0"/>
    </x:xf>
    <x:xf numFmtId="164" fontId="21" fillId="2" borderId="11" xfId="20" applyFont="1" applyBorder="1" applyAlignment="1">
      <x:alignment horizontal="left" vertical="bottom" wrapText="0"/>
    </x:xf>
    <x:xf numFmtId="164" fontId="21" fillId="2" borderId="11" xfId="20" applyFont="1" applyBorder="1" applyAlignment="1">
      <x:alignment horizontal="center" vertical="bottom" wrapText="0"/>
    </x:xf>
    <x:xf numFmtId="164" fontId="4" fillId="0" borderId="11" xfId="20" applyFont="1" applyBorder="1" applyAlignment="0">
      <x:alignment horizontal="general" vertical="bottom" wrapText="0"/>
    </x:xf>
    <x:xf numFmtId="171" fontId="22" fillId="6" borderId="11" xfId="20" applyFont="1" applyBorder="1" applyAlignment="0">
      <x:alignment horizontal="general" vertical="bottom" wrapText="0"/>
    </x:xf>
    <x:xf numFmtId="164" fontId="23" fillId="0" borderId="0" xfId="20" applyFont="1" applyBorder="1" applyAlignment="1">
      <x:alignment horizontal="general" vertical="bottom" wrapText="1"/>
    </x:xf>
    <x:xf numFmtId="172" fontId="22" fillId="6" borderId="11" xfId="20" applyFont="1" applyBorder="1" applyAlignment="0">
      <x:alignment horizontal="general" vertical="bottom" wrapText="0"/>
    </x:xf>
    <x:xf numFmtId="172" fontId="4" fillId="0" borderId="11" xfId="20" applyFont="0" applyBorder="1" applyAlignment="0">
      <x:alignment horizontal="general" vertical="bottom" wrapText="0"/>
    </x:xf>
    <x:xf numFmtId="164" fontId="24" fillId="0" borderId="11" xfId="20" applyFont="1" applyBorder="1" applyAlignment="0">
      <x:alignment horizontal="general" vertical="bottom" wrapText="0"/>
    </x:xf>
    <x:xf numFmtId="172" fontId="24" fillId="0" borderId="11" xfId="20" applyFont="1" applyBorder="1" applyAlignment="0">
      <x:alignment horizontal="general" vertical="bottom" wrapText="0"/>
    </x:xf>
    <x:xf numFmtId="171" fontId="4" fillId="0" borderId="11" xfId="20" applyFont="0" applyBorder="1" applyAlignment="0">
      <x:alignment horizontal="general" vertical="bottom" wrapText="0"/>
    </x:xf>
    <x:xf numFmtId="171" fontId="24" fillId="0" borderId="11" xfId="20" applyFont="1" applyBorder="1" applyAlignment="0">
      <x:alignment horizontal="general" vertical="bottom" wrapText="0"/>
    </x:xf>
    <x:xf numFmtId="173" fontId="4" fillId="8" borderId="0" xfId="20" applyFont="0" applyBorder="0" applyAlignment="0">
      <x:alignment horizontal="general" vertical="bottom" wrapText="0"/>
    </x:xf>
    <x:xf numFmtId="164" fontId="25" fillId="3" borderId="0" xfId="20" applyFont="1" applyBorder="1" applyAlignment="1">
      <x:alignment horizontal="left" vertical="bottom" wrapText="1"/>
    </x:xf>
    <x:xf numFmtId="164" fontId="8" fillId="9" borderId="12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center" vertical="bottom" wrapText="1"/>
    </x:xf>
    <x:xf numFmtId="164" fontId="8" fillId="9" borderId="14" xfId="20" applyFont="1" applyBorder="1" applyAlignment="1">
      <x:alignment horizontal="center" vertical="bottom" wrapText="1"/>
    </x:xf>
    <x:xf numFmtId="164" fontId="26" fillId="0" borderId="15" xfId="20" applyFont="1" applyBorder="1" applyAlignment="1">
      <x:alignment horizontal="left" vertical="bottom" wrapText="1"/>
    </x:xf>
    <x:xf numFmtId="166" fontId="10" fillId="0" borderId="16" xfId="20" applyFont="1" applyBorder="1" applyAlignment="1">
      <x:alignment horizontal="right" vertical="bottom" wrapText="1"/>
    </x:xf>
    <x:xf numFmtId="166" fontId="10" fillId="0" borderId="17" xfId="20" applyFont="1" applyBorder="1" applyAlignment="1">
      <x:alignment horizontal="right" vertical="bottom" wrapText="1"/>
    </x:xf>
    <x:xf numFmtId="166" fontId="9" fillId="0" borderId="16" xfId="20" applyFont="1" applyBorder="1" applyAlignment="1">
      <x:alignment horizontal="right" vertical="bottom" wrapText="1"/>
    </x:xf>
    <x:xf numFmtId="166" fontId="9" fillId="0" borderId="17" xfId="20" applyFont="1" applyBorder="1" applyAlignment="1">
      <x:alignment horizontal="right" vertical="bottom" wrapText="1"/>
    </x:xf>
    <x:xf numFmtId="171" fontId="26" fillId="0" borderId="16" xfId="20" applyFont="1" applyBorder="1" applyAlignment="1">
      <x:alignment horizontal="right" vertical="bottom" wrapText="1"/>
    </x:xf>
    <x:xf numFmtId="171" fontId="26" fillId="0" borderId="17" xfId="20" applyFont="1" applyBorder="1" applyAlignment="1">
      <x:alignment horizontal="right" vertical="bottom" wrapText="1"/>
    </x:xf>
    <x:xf numFmtId="166" fontId="26" fillId="0" borderId="16" xfId="20" applyFont="1" applyBorder="1" applyAlignment="1">
      <x:alignment horizontal="right" vertical="bottom" wrapText="1"/>
    </x:xf>
    <x:xf numFmtId="166" fontId="26" fillId="0" borderId="17" xfId="20" applyFont="1" applyBorder="1" applyAlignment="1">
      <x:alignment horizontal="right" vertical="bottom" wrapText="1"/>
    </x:xf>
    <x:xf numFmtId="164" fontId="26" fillId="0" borderId="18" xfId="20" applyFont="1" applyBorder="1" applyAlignment="1">
      <x:alignment horizontal="left" vertical="bottom" wrapText="1"/>
    </x:xf>
    <x:xf numFmtId="171" fontId="9" fillId="0" borderId="19" xfId="20" applyFont="1" applyBorder="1" applyAlignment="1">
      <x:alignment horizontal="right" vertical="bottom" wrapText="1"/>
    </x:xf>
    <x:xf numFmtId="171" fontId="9" fillId="0" borderId="20" xfId="20" applyFont="1" applyBorder="1" applyAlignment="1">
      <x:alignment horizontal="right" vertical="bottom" wrapText="1"/>
    </x:xf>
    <x:xf numFmtId="164" fontId="4" fillId="0" borderId="0" xfId="20" applyFont="1" applyBorder="1" applyAlignment="1">
      <x:alignment horizontal="left" vertical="bottom" wrapText="1"/>
    </x:xf>
    <x:xf numFmtId="164" fontId="4" fillId="0" borderId="0" xfId="20" applyFont="1" applyBorder="1" applyAlignment="1">
      <x:alignment horizontal="right" vertical="bottom" wrapText="1"/>
    </x:xf>
    <x:xf numFmtId="164" fontId="12" fillId="10" borderId="0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right" vertical="bottom" wrapText="1"/>
    </x:xf>
    <x:xf numFmtId="164" fontId="8" fillId="9" borderId="14" xfId="20" applyFont="1" applyBorder="1" applyAlignment="1">
      <x:alignment horizontal="right" vertical="bottom" wrapText="1"/>
    </x:xf>
    <x:xf numFmtId="171" fontId="9" fillId="0" borderId="16" xfId="20" applyFont="1" applyBorder="1" applyAlignment="1">
      <x:alignment horizontal="right" vertical="bottom" wrapText="1"/>
    </x:xf>
    <x:xf numFmtId="171" fontId="9" fillId="0" borderId="17" xfId="20" applyFont="1" applyBorder="1" applyAlignment="1">
      <x:alignment horizontal="right" vertical="bottom" wrapText="1"/>
    </x:xf>
    <x:xf numFmtId="164" fontId="12" fillId="6" borderId="0" xfId="20" applyFont="1" applyBorder="1" applyAlignment="1">
      <x:alignment horizontal="left" vertical="bottom" wrapText="1"/>
    </x:xf>
    <x:xf numFmtId="164" fontId="27" fillId="8" borderId="18" xfId="20" applyFont="1" applyBorder="1" applyAlignment="1">
      <x:alignment horizontal="left" vertical="bottom" wrapText="1"/>
    </x:xf>
    <x:xf numFmtId="166" fontId="27" fillId="8" borderId="19" xfId="20" applyFont="1" applyBorder="1" applyAlignment="1">
      <x:alignment horizontal="right" vertical="bottom" wrapText="1"/>
    </x:xf>
    <x:xf numFmtId="166" fontId="27" fillId="8" borderId="20" xfId="20" applyFont="1" applyBorder="1" applyAlignment="1">
      <x:alignment horizontal="right" vertical="bottom" wrapText="1"/>
    </x:xf>
    <x:xf numFmtId="164" fontId="26" fillId="10" borderId="12" xfId="20" applyFont="1" applyBorder="1" applyAlignment="1">
      <x:alignment horizontal="left" vertical="bottom" wrapText="1"/>
    </x:xf>
    <x:xf numFmtId="166" fontId="26" fillId="10" borderId="14" xfId="20" applyFont="1" applyBorder="1" applyAlignment="1">
      <x:alignment horizontal="right" vertical="bottom" wrapText="1"/>
    </x:xf>
    <x:xf numFmtId="164" fontId="26" fillId="10" borderId="15" xfId="20" applyFont="1" applyBorder="1" applyAlignment="1">
      <x:alignment horizontal="left" vertical="bottom" wrapText="1"/>
    </x:xf>
    <x:xf numFmtId="166" fontId="9" fillId="10" borderId="17" xfId="20" applyFont="1" applyBorder="1" applyAlignment="1">
      <x:alignment horizontal="right" vertical="bottom" wrapText="1"/>
    </x:xf>
    <x:xf numFmtId="164" fontId="26" fillId="10" borderId="18" xfId="20" applyFont="1" applyBorder="1" applyAlignment="1">
      <x:alignment horizontal="left" vertical="bottom" wrapText="1"/>
    </x:xf>
    <x:xf numFmtId="166" fontId="26" fillId="10" borderId="20" xfId="20" applyFont="1" applyBorder="1" applyAlignment="1">
      <x:alignment horizontal="right" vertical="bottom" wrapText="1"/>
    </x:xf>
    <x:xf numFmtId="164" fontId="26" fillId="0" borderId="0" xfId="20" applyFont="1" applyBorder="1" applyAlignment="1">
      <x:alignment horizontal="left" vertical="bottom" wrapText="1"/>
    </x:xf>
    <x:xf numFmtId="164" fontId="12" fillId="0" borderId="0" xfId="20" applyFont="1" applyBorder="1" applyAlignment="1">
      <x:alignment horizontal="general" vertical="bottom" wrapText="1"/>
    </x:xf>
    <x:xf numFmtId="164" fontId="9" fillId="0" borderId="0" xfId="0" applyNumberFormat="1" applyFont="1" applyFill="1" applyBorder="1" applyAlignment="1">
      <x:alignment horizontal="general" vertical="bottom" wrapText="0"/>
    </x:xf>
    <x:xf numFmtId="200" fontId="9" fillId="0" borderId="0" xfId="0" applyNumberFormat="1" applyFont="1" applyFill="1" applyBorder="1" applyAlignment="1">
      <x:alignment horizontal="general" vertical="bottom" wrapText="0"/>
    </x:xf>
    <x:xf numFmtId="164" fontId="9" fillId="0" borderId="0" xfId="0" applyNumberFormat="1" applyFont="1" applyFill="1" applyBorder="1" applyAlignment="1">
      <x:alignment horizontal="general" vertical="bottom" wrapText="1"/>
    </x:xf>
    <x:xf numFmtId="200" fontId="9" fillId="0" borderId="0" xfId="0" applyNumberFormat="1" applyFont="1" applyFill="1" applyBorder="1" applyAlignment="1">
      <x:alignment horizontal="general" vertical="bottom" wrapText="1"/>
    </x:xf>
    <x:xf numFmtId="164" fontId="9" fillId="0" borderId="10" xfId="0" applyNumberFormat="1" applyFont="1" applyFill="1" applyBorder="1" applyAlignment="1">
      <x:alignment horizontal="general" vertical="bottom" wrapText="1"/>
    </x:xf>
    <x:xf numFmtId="200" fontId="9" fillId="0" borderId="10" xfId="0" applyNumberFormat="1" applyFont="1" applyFill="1" applyBorder="1" applyAlignment="1">
      <x:alignment horizontal="general" vertical="bottom" wrapText="1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0"/>
    </x:xf>
    <x:xf numFmtId="164" fontId="0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center" vertical="bottom" wrapText="0"/>
    </x:xf>
    <x:xf numFmtId="164" fontId="8" fillId="12" borderId="0" xfId="0" applyNumberFormat="1" applyFont="1" applyFill="1" applyBorder="1" applyAlignment="1">
      <x:alignment horizontal="left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27" fillId="11" borderId="0" xfId="0" applyNumberFormat="1" applyFont="1" applyFill="1" applyBorder="1" applyAlignment="1">
      <x:alignment horizontal="general" vertical="bottom" wrapText="0"/>
    </x:xf>
    <x:xf numFmtId="164" fontId="27" fillId="12" borderId="0" xfId="0" applyNumberFormat="1" applyFont="1" applyFill="1" applyBorder="1" applyAlignment="1">
      <x:alignment horizontal="left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28" fillId="11" borderId="0" xfId="0" applyNumberFormat="1" applyFont="1" applyFill="1" applyBorder="1" applyAlignment="1">
      <x:alignment horizontal="general" vertical="bottom" wrapText="0"/>
    </x:xf>
    <x:xf numFmtId="164" fontId="28" fillId="12" borderId="0" xfId="0" applyNumberFormat="1" applyFont="1" applyFill="1" applyBorder="1" applyAlignment="1">
      <x:alignment horizontal="center" vertical="bottom" wrapText="0"/>
    </x:xf>
    <x:xf numFmtId="171" fontId="9" fillId="0" borderId="0" xfId="0" applyNumberFormat="1" applyFont="1" applyFill="1" applyBorder="1" applyAlignment="1">
      <x:alignment horizontal="general" vertical="bottom" wrapText="0"/>
    </x:xf>
    <x:xf numFmtId="171" fontId="26" fillId="0" borderId="0" xfId="0" applyNumberFormat="1" applyFont="1" applyFill="1" applyBorder="1" applyAlignment="1">
      <x:alignment horizontal="general" vertical="bottom" wrapText="0"/>
    </x:xf>
    <x:xf numFmtId="201" fontId="9" fillId="0" borderId="0" xfId="0" applyNumberFormat="1" applyFont="1" applyFill="1" applyBorder="1" applyAlignment="1">
      <x:alignment horizontal="general" vertical="bottom" wrapText="0"/>
    </x:xf>
    <x:xf numFmtId="201" fontId="26" fillId="0" borderId="0" xfId="0" applyNumberFormat="1" applyFont="1" applyFill="1" applyBorder="1" applyAlignment="1">
      <x:alignment horizontal="general" vertical="bottom" wrapText="0"/>
    </x:xf>
    <x:xf numFmtId="202" fontId="9" fillId="0" borderId="0" xfId="0" applyNumberFormat="1" applyFont="1" applyFill="1" applyBorder="1" applyAlignment="1">
      <x:alignment horizontal="general" vertical="bottom" wrapText="0"/>
    </x:xf>
    <x:xf numFmtId="202" fontId="26" fillId="0" borderId="0" xfId="0" applyNumberFormat="1" applyFont="1" applyFill="1" applyBorder="1" applyAlignment="1">
      <x:alignment horizontal="general" vertical="bottom" wrapText="0"/>
    </x:xf>
    <x:xf numFmtId="203" fontId="26" fillId="0" borderId="0" xfId="0" applyNumberFormat="1" applyFont="1" applyFill="1" applyBorder="1" applyAlignment="1">
      <x:alignment horizontal="general" vertical="bottom" wrapText="0"/>
    </x:xf>
    <x:xf numFmtId="204" fontId="26" fillId="0" borderId="0" xfId="0" applyNumberFormat="1" applyFont="1" applyFill="1" applyBorder="1" applyAlignment="1">
      <x:alignment horizontal="general" vertical="bottom" wrapText="0"/>
    </x:xf>
    <x:xf numFmtId="164" fontId="26" fillId="13" borderId="0" xfId="0" applyNumberFormat="1" applyFont="1" applyFill="1" applyBorder="1" applyAlignment="1">
      <x:alignment horizontal="general" vertical="bottom" wrapText="0"/>
    </x:xf>
    <x:xf numFmtId="171" fontId="26" fillId="13" borderId="0" xfId="0" applyNumberFormat="1" applyFont="1" applyFill="1" applyBorder="1" applyAlignment="1">
      <x:alignment horizontal="general" vertical="bottom" wrapText="0"/>
    </x:xf>
    <x:xf numFmtId="164" fontId="12" fillId="13" borderId="0" xfId="0" applyNumberFormat="1" applyFont="1" applyFill="1" applyBorder="1" applyAlignment="1">
      <x:alignment horizontal="general" vertical="bottom" wrapText="0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7" fillId="13" borderId="0" xfId="0" applyNumberFormat="1" applyFont="1" applyFill="1" applyBorder="1" applyAlignment="1">
      <x:alignment horizontal="general" vertical="bottom" wrapText="0"/>
    </x:xf>
    <x:xf numFmtId="171" fontId="27" fillId="13" borderId="0" xfId="0" applyNumberFormat="1" applyFont="1" applyFill="1" applyBorder="1" applyAlignment="1">
      <x:alignment horizontal="general" vertical="bottom" wrapText="0"/>
    </x:xf>
    <x:xf numFmtId="164" fontId="26" fillId="14" borderId="0" xfId="0" applyNumberFormat="1" applyFont="1" applyFill="1" applyBorder="1" applyAlignment="1">
      <x:alignment horizontal="general" vertical="bottom" wrapText="0"/>
    </x:xf>
    <x:xf numFmtId="202" fontId="26" fillId="14" borderId="0" xfId="0" applyNumberFormat="1" applyFont="1" applyFill="1" applyBorder="1" applyAlignment="1">
      <x:alignment horizontal="general" vertical="bottom" wrapText="0"/>
    </x:xf>
    <x:xf numFmtId="164" fontId="12" fillId="14" borderId="0" xfId="0" applyNumberFormat="1" applyFont="1" applyFill="1" applyBorder="1" applyAlignment="1">
      <x:alignment horizontal="general" vertical="bottom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26" fillId="15" borderId="0" xfId="0" applyNumberFormat="1" applyFont="1" applyFill="1" applyBorder="1" applyAlignment="1">
      <x:alignment horizontal="general" vertical="bottom" wrapText="0"/>
    </x:xf>
    <x:xf numFmtId="202" fontId="26" fillId="15" borderId="0" xfId="0" applyNumberFormat="1" applyFont="1" applyFill="1" applyBorder="1" applyAlignment="1">
      <x:alignment horizontal="general" vertical="bottom" wrapText="0"/>
    </x:xf>
    <x:xf numFmtId="202" fontId="26" fillId="13" borderId="0" xfId="0" applyNumberFormat="1" applyFont="1" applyFill="1" applyBorder="1" applyAlignment="1">
      <x:alignment horizontal="general" vertical="bottom" wrapText="0"/>
    </x:xf>
    <x:xf numFmtId="202" fontId="27" fillId="13" borderId="0" xfId="0" applyNumberFormat="1" applyFont="1" applyFill="1" applyBorder="1" applyAlignment="1">
      <x:alignment horizontal="general" vertical="bottom" wrapText="0"/>
    </x:xf>
    <x:xf numFmtId="204" fontId="26" fillId="13" borderId="0" xfId="0" applyNumberFormat="1" applyFont="1" applyFill="1" applyBorder="1" applyAlignment="1">
      <x:alignment horizontal="general" vertical="bottom" wrapText="0"/>
    </x:xf>
    <x:xf numFmtId="204" fontId="27" fillId="13" borderId="0" xfId="0" applyNumberFormat="1" applyFont="1" applyFill="1" applyBorder="1" applyAlignment="1">
      <x:alignment horizontal="general" vertical="bottom" wrapText="0"/>
    </x:xf>
    <x:xf numFmtId="164" fontId="8" fillId="12" borderId="12" xfId="0" applyNumberFormat="1" applyFont="1" applyFill="1" applyBorder="1" applyAlignment="1">
      <x:alignment horizontal="left" vertical="bottom" wrapText="0"/>
    </x:xf>
    <x:xf numFmtId="164" fontId="8" fillId="12" borderId="13" xfId="0" applyNumberFormat="1" applyFont="1" applyFill="1" applyBorder="1" applyAlignment="1">
      <x:alignment horizontal="center" vertical="bottom" wrapText="0"/>
    </x:xf>
    <x:xf numFmtId="164" fontId="8" fillId="12" borderId="14" xfId="0" applyNumberFormat="1" applyFont="1" applyFill="1" applyBorder="1" applyAlignment="1">
      <x:alignment horizontal="center" vertical="bottom" wrapText="0"/>
    </x:xf>
    <x:xf numFmtId="164" fontId="26" fillId="0" borderId="15" xfId="0" applyNumberFormat="1" applyFont="1" applyFill="1" applyBorder="1" applyAlignment="1">
      <x:alignment horizontal="general" vertical="bottom" wrapText="0"/>
    </x:xf>
    <x:xf numFmtId="171" fontId="9" fillId="0" borderId="16" xfId="0" applyNumberFormat="1" applyFont="1" applyFill="1" applyBorder="1" applyAlignment="1">
      <x:alignment horizontal="general" vertical="bottom" wrapText="0"/>
    </x:xf>
    <x:xf numFmtId="164" fontId="12" fillId="0" borderId="16" xfId="0" applyNumberFormat="1" applyFont="1" applyFill="1" applyBorder="1" applyAlignment="1">
      <x:alignment horizontal="general" vertical="bottom" wrapText="0"/>
    </x:xf>
    <x:xf numFmtId="164" fontId="0" fillId="0" borderId="16" xfId="0" applyNumberFormat="1" applyFont="1" applyFill="1" applyBorder="1" applyAlignment="1">
      <x:alignment horizontal="general" vertical="bottom" wrapText="0"/>
    </x:xf>
    <x:xf numFmtId="164" fontId="0" fillId="0" borderId="17" xfId="0" applyNumberFormat="1" applyFont="1" applyFill="1" applyBorder="1" applyAlignment="1">
      <x:alignment horizontal="general" vertical="bottom" wrapText="0"/>
    </x:xf>
    <x:xf numFmtId="201" fontId="9" fillId="0" borderId="16" xfId="0" applyNumberFormat="1" applyFont="1" applyFill="1" applyBorder="1" applyAlignment="1">
      <x:alignment horizontal="general" vertical="bottom" wrapText="0"/>
    </x:xf>
    <x:xf numFmtId="202" fontId="9" fillId="0" borderId="16" xfId="0" applyNumberFormat="1" applyFont="1" applyFill="1" applyBorder="1" applyAlignment="1">
      <x:alignment horizontal="general" vertical="bottom" wrapText="0"/>
    </x:xf>
    <x:xf numFmtId="171" fontId="26" fillId="0" borderId="16" xfId="0" applyNumberFormat="1" applyFont="1" applyFill="1" applyBorder="1" applyAlignment="1">
      <x:alignment horizontal="general" vertical="bottom" wrapText="0"/>
    </x:xf>
    <x:xf numFmtId="201" fontId="26" fillId="0" borderId="16" xfId="0" applyNumberFormat="1" applyFont="1" applyFill="1" applyBorder="1" applyAlignment="1">
      <x:alignment horizontal="general" vertical="bottom" wrapText="0"/>
    </x:xf>
    <x:xf numFmtId="164" fontId="27" fillId="13" borderId="18" xfId="0" applyNumberFormat="1" applyFont="1" applyFill="1" applyBorder="1" applyAlignment="1">
      <x:alignment horizontal="general" vertical="bottom" wrapText="0"/>
    </x:xf>
    <x:xf numFmtId="171" fontId="27" fillId="13" borderId="19" xfId="0" applyNumberFormat="1" applyFont="1" applyFill="1" applyBorder="1" applyAlignment="1">
      <x:alignment horizontal="general" vertical="bottom" wrapText="0"/>
    </x:xf>
    <x:xf numFmtId="164" fontId="12" fillId="13" borderId="19" xfId="0" applyNumberFormat="1" applyFont="1" applyFill="1" applyBorder="1" applyAlignment="1">
      <x:alignment horizontal="general" vertical="bottom" wrapText="0"/>
    </x:xf>
    <x:xf numFmtId="164" fontId="0" fillId="13" borderId="19" xfId="0" applyNumberFormat="1" applyFont="1" applyFill="1" applyBorder="1" applyAlignment="1">
      <x:alignment horizontal="general" vertical="bottom" wrapText="0"/>
    </x:xf>
    <x:xf numFmtId="164" fontId="0" fillId="13" borderId="20" xfId="0" applyNumberFormat="1" applyFont="1" applyFill="1" applyBorder="1" applyAlignment="1">
      <x:alignment horizontal="general" vertical="bottom" wrapText="0"/>
    </x:xf>
    <x:xf numFmtId="164" fontId="27" fillId="12" borderId="12" xfId="0" applyNumberFormat="1" applyFont="1" applyFill="1" applyBorder="1" applyAlignment="1">
      <x:alignment horizontal="left" vertical="bottom" wrapText="0"/>
    </x:xf>
    <x:xf numFmtId="164" fontId="28" fillId="12" borderId="13" xfId="0" applyNumberFormat="1" applyFont="1" applyFill="1" applyBorder="1" applyAlignment="1">
      <x:alignment horizontal="center" vertical="bottom" wrapText="0"/>
    </x:xf>
    <x:xf numFmtId="202" fontId="26" fillId="0" borderId="16" xfId="0" applyNumberFormat="1" applyFont="1" applyFill="1" applyBorder="1" applyAlignment="1">
      <x:alignment horizontal="general" vertical="bottom" wrapText="0"/>
    </x:xf>
    <x:xf numFmtId="164" fontId="26" fillId="14" borderId="18" xfId="0" applyNumberFormat="1" applyFont="1" applyFill="1" applyBorder="1" applyAlignment="1">
      <x:alignment horizontal="general" vertical="bottom" wrapText="0"/>
    </x:xf>
    <x:xf numFmtId="202" fontId="26" fillId="14" borderId="19" xfId="0" applyNumberFormat="1" applyFont="1" applyFill="1" applyBorder="1" applyAlignment="1">
      <x:alignment horizontal="general" vertical="bottom" wrapText="0"/>
    </x:xf>
    <x:xf numFmtId="164" fontId="12" fillId="14" borderId="19" xfId="0" applyNumberFormat="1" applyFont="1" applyFill="1" applyBorder="1" applyAlignment="1">
      <x:alignment horizontal="general" vertical="bottom" wrapText="0"/>
    </x:xf>
    <x:xf numFmtId="164" fontId="0" fillId="14" borderId="19" xfId="0" applyNumberFormat="1" applyFont="1" applyFill="1" applyBorder="1" applyAlignment="1">
      <x:alignment horizontal="general" vertical="bottom" wrapText="0"/>
    </x:xf>
    <x:xf numFmtId="164" fontId="0" fillId="14" borderId="20" xfId="0" applyNumberFormat="1" applyFont="1" applyFill="1" applyBorder="1" applyAlignment="1">
      <x:alignment horizontal="general" vertical="bottom" wrapText="0"/>
    </x:xf>
    <x:xf numFmtId="202" fontId="26" fillId="0" borderId="17" xfId="0" applyNumberFormat="1" applyFont="1" applyFill="1" applyBorder="1" applyAlignment="1">
      <x:alignment horizontal="general" vertical="bottom" wrapText="0"/>
    </x:xf>
    <x:xf numFmtId="203" fontId="26" fillId="0" borderId="16" xfId="0" applyNumberFormat="1" applyFont="1" applyFill="1" applyBorder="1" applyAlignment="1">
      <x:alignment horizontal="general" vertical="bottom" wrapText="0"/>
    </x:xf>
    <x:xf numFmtId="203" fontId="26" fillId="0" borderId="17" xfId="0" applyNumberFormat="1" applyFont="1" applyFill="1" applyBorder="1" applyAlignment="1">
      <x:alignment horizontal="general" vertical="bottom" wrapText="0"/>
    </x:xf>
    <x:xf numFmtId="171" fontId="26" fillId="0" borderId="17" xfId="0" applyNumberFormat="1" applyFont="1" applyFill="1" applyBorder="1" applyAlignment="1">
      <x:alignment horizontal="general" vertical="bottom" wrapText="0"/>
    </x:xf>
    <x:xf numFmtId="164" fontId="26" fillId="15" borderId="18" xfId="0" applyNumberFormat="1" applyFont="1" applyFill="1" applyBorder="1" applyAlignment="1">
      <x:alignment horizontal="general" vertical="bottom" wrapText="0"/>
    </x:xf>
    <x:xf numFmtId="202" fontId="26" fillId="15" borderId="19" xfId="0" applyNumberFormat="1" applyFont="1" applyFill="1" applyBorder="1" applyAlignment="1">
      <x:alignment horizontal="general" vertical="bottom" wrapText="0"/>
    </x:xf>
    <x:xf numFmtId="202" fontId="26" fillId="15" borderId="20" xfId="0" applyNumberFormat="1" applyFont="1" applyFill="1" applyBorder="1" applyAlignment="1">
      <x:alignment horizontal="general" vertical="bottom" wrapText="0"/>
    </x:xf>
    <x:xf numFmtId="164" fontId="26" fillId="0" borderId="12" xfId="0" applyNumberFormat="1" applyFont="1" applyFill="1" applyBorder="1" applyAlignment="1">
      <x:alignment horizontal="general" vertical="bottom" wrapText="0"/>
    </x:xf>
    <x:xf numFmtId="202" fontId="26" fillId="0" borderId="14" xfId="0" applyNumberFormat="1" applyFont="1" applyFill="1" applyBorder="1" applyAlignment="1">
      <x:alignment horizontal="general" vertical="bottom" wrapText="0"/>
    </x:xf>
    <x:xf numFmtId="164" fontId="27" fillId="13" borderId="15" xfId="0" applyNumberFormat="1" applyFont="1" applyFill="1" applyBorder="1" applyAlignment="1">
      <x:alignment horizontal="general" vertical="bottom" wrapText="0"/>
    </x:xf>
    <x:xf numFmtId="202" fontId="27" fillId="13" borderId="17" xfId="0" applyNumberFormat="1" applyFont="1" applyFill="1" applyBorder="1" applyAlignment="1">
      <x:alignment horizontal="general" vertical="bottom" wrapText="0"/>
    </x:xf>
    <x:xf numFmtId="204" fontId="27" fillId="13" borderId="17" xfId="0" applyNumberFormat="1" applyFont="1" applyFill="1" applyBorder="1" applyAlignment="1">
      <x:alignment horizontal="general" vertical="bottom" wrapText="0"/>
    </x:xf>
    <x:xf numFmtId="164" fontId="26" fillId="0" borderId="18" xfId="0" applyNumberFormat="1" applyFont="1" applyFill="1" applyBorder="1" applyAlignment="1">
      <x:alignment horizontal="general" vertical="bottom" wrapText="0"/>
    </x:xf>
    <x:xf numFmtId="171" fontId="26" fillId="0" borderId="2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1"/>
    </x:xf>
    <x:xf numFmtId="164" fontId="8" fillId="12" borderId="12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center" vertical="bottom" wrapText="1"/>
    </x:xf>
    <x:xf numFmtId="164" fontId="8" fillId="12" borderId="14" xfId="0" applyNumberFormat="1" applyFont="1" applyFill="1" applyBorder="1" applyAlignment="1">
      <x:alignment horizontal="center" vertical="bottom" wrapText="1"/>
    </x:xf>
    <x:xf numFmtId="164" fontId="26" fillId="0" borderId="15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general" vertical="bottom" wrapText="1"/>
    </x:xf>
    <x:xf numFmtId="164" fontId="12" fillId="0" borderId="16" xfId="0" applyNumberFormat="1" applyFont="1" applyFill="1" applyBorder="1" applyAlignment="1">
      <x:alignment horizontal="general" vertical="bottom" wrapText="1"/>
    </x:xf>
    <x:xf numFmtId="164" fontId="0" fillId="0" borderId="16" xfId="0" applyNumberFormat="1" applyFont="1" applyFill="1" applyBorder="1" applyAlignment="1">
      <x:alignment horizontal="general" vertical="bottom" wrapText="1"/>
    </x:xf>
    <x:xf numFmtId="164" fontId="0" fillId="0" borderId="17" xfId="0" applyNumberFormat="1" applyFont="1" applyFill="1" applyBorder="1" applyAlignment="1">
      <x:alignment horizontal="general" vertical="bottom" wrapText="1"/>
    </x:xf>
    <x:xf numFmtId="201" fontId="9" fillId="0" borderId="16" xfId="0" applyNumberFormat="1" applyFont="1" applyFill="1" applyBorder="1" applyAlignment="1">
      <x:alignment horizontal="general" vertical="bottom" wrapText="1"/>
    </x:xf>
    <x:xf numFmtId="202" fontId="9" fillId="0" borderId="16" xfId="0" applyNumberFormat="1" applyFont="1" applyFill="1" applyBorder="1" applyAlignment="1">
      <x:alignment horizontal="general" vertical="bottom" wrapText="1"/>
    </x:xf>
    <x:xf numFmtId="171" fontId="26" fillId="0" borderId="16" xfId="0" applyNumberFormat="1" applyFont="1" applyFill="1" applyBorder="1" applyAlignment="1">
      <x:alignment horizontal="general" vertical="bottom" wrapText="1"/>
    </x:xf>
    <x:xf numFmtId="201" fontId="26" fillId="0" borderId="16" xfId="0" applyNumberFormat="1" applyFont="1" applyFill="1" applyBorder="1" applyAlignment="1">
      <x:alignment horizontal="general" vertical="bottom" wrapText="1"/>
    </x:xf>
    <x:xf numFmtId="164" fontId="27" fillId="13" borderId="18" xfId="0" applyNumberFormat="1" applyFont="1" applyFill="1" applyBorder="1" applyAlignment="1">
      <x:alignment horizontal="general" vertical="bottom" wrapText="1"/>
    </x:xf>
    <x:xf numFmtId="171" fontId="27" fillId="13" borderId="19" xfId="0" applyNumberFormat="1" applyFont="1" applyFill="1" applyBorder="1" applyAlignment="1">
      <x:alignment horizontal="general" vertical="bottom" wrapText="1"/>
    </x:xf>
    <x:xf numFmtId="164" fontId="12" fillId="13" borderId="19" xfId="0" applyNumberFormat="1" applyFont="1" applyFill="1" applyBorder="1" applyAlignment="1">
      <x:alignment horizontal="general" vertical="bottom" wrapText="1"/>
    </x:xf>
    <x:xf numFmtId="164" fontId="0" fillId="13" borderId="19" xfId="0" applyNumberFormat="1" applyFont="1" applyFill="1" applyBorder="1" applyAlignment="1">
      <x:alignment horizontal="general" vertical="bottom" wrapText="1"/>
    </x:xf>
    <x:xf numFmtId="164" fontId="0" fillId="13" borderId="20" xfId="0" applyNumberFormat="1" applyFont="1" applyFill="1" applyBorder="1" applyAlignment="1">
      <x:alignment horizontal="general" vertical="bottom" wrapText="1"/>
    </x:xf>
    <x:xf numFmtId="164" fontId="26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  <x:xf numFmtId="164" fontId="27" fillId="11" borderId="0" xfId="0" applyNumberFormat="1" applyFont="1" applyFill="1" applyBorder="1" applyAlignment="1">
      <x:alignment horizontal="general" vertical="bottom" wrapText="1"/>
    </x:xf>
    <x:xf numFmtId="164" fontId="28" fillId="11" borderId="0" xfId="0" applyNumberFormat="1" applyFont="1" applyFill="1" applyBorder="1" applyAlignment="1">
      <x:alignment horizontal="general" vertical="bottom" wrapText="1"/>
    </x:xf>
    <x:xf numFmtId="164" fontId="27" fillId="12" borderId="12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center" vertical="bottom" wrapText="1"/>
    </x:xf>
    <x:xf numFmtId="202" fontId="26" fillId="0" borderId="16" xfId="0" applyNumberFormat="1" applyFont="1" applyFill="1" applyBorder="1" applyAlignment="1">
      <x:alignment horizontal="general" vertical="bottom" wrapText="1"/>
    </x:xf>
    <x:xf numFmtId="164" fontId="26" fillId="14" borderId="18" xfId="0" applyNumberFormat="1" applyFont="1" applyFill="1" applyBorder="1" applyAlignment="1">
      <x:alignment horizontal="general" vertical="bottom" wrapText="1"/>
    </x:xf>
    <x:xf numFmtId="202" fontId="26" fillId="14" borderId="19" xfId="0" applyNumberFormat="1" applyFont="1" applyFill="1" applyBorder="1" applyAlignment="1">
      <x:alignment horizontal="general" vertical="bottom" wrapText="1"/>
    </x:xf>
    <x:xf numFmtId="164" fontId="12" fillId="14" borderId="19" xfId="0" applyNumberFormat="1" applyFont="1" applyFill="1" applyBorder="1" applyAlignment="1">
      <x:alignment horizontal="general" vertical="bottom" wrapText="1"/>
    </x:xf>
    <x:xf numFmtId="164" fontId="0" fillId="14" borderId="19" xfId="0" applyNumberFormat="1" applyFont="1" applyFill="1" applyBorder="1" applyAlignment="1">
      <x:alignment horizontal="general" vertical="bottom" wrapText="1"/>
    </x:xf>
    <x:xf numFmtId="164" fontId="0" fillId="14" borderId="20" xfId="0" applyNumberFormat="1" applyFont="1" applyFill="1" applyBorder="1" applyAlignment="1">
      <x:alignment horizontal="general" vertical="bottom" wrapText="1"/>
    </x:xf>
    <x:xf numFmtId="202" fontId="26" fillId="0" borderId="17" xfId="0" applyNumberFormat="1" applyFont="1" applyFill="1" applyBorder="1" applyAlignment="1">
      <x:alignment horizontal="general" vertical="bottom" wrapText="1"/>
    </x:xf>
    <x:xf numFmtId="203" fontId="26" fillId="0" borderId="16" xfId="0" applyNumberFormat="1" applyFont="1" applyFill="1" applyBorder="1" applyAlignment="1">
      <x:alignment horizontal="general" vertical="bottom" wrapText="1"/>
    </x:xf>
    <x:xf numFmtId="203" fontId="26" fillId="0" borderId="17" xfId="0" applyNumberFormat="1" applyFont="1" applyFill="1" applyBorder="1" applyAlignment="1">
      <x:alignment horizontal="general" vertical="bottom" wrapText="1"/>
    </x:xf>
    <x:xf numFmtId="171" fontId="26" fillId="0" borderId="17" xfId="0" applyNumberFormat="1" applyFont="1" applyFill="1" applyBorder="1" applyAlignment="1">
      <x:alignment horizontal="general" vertical="bottom" wrapText="1"/>
    </x:xf>
    <x:xf numFmtId="164" fontId="26" fillId="15" borderId="18" xfId="0" applyNumberFormat="1" applyFont="1" applyFill="1" applyBorder="1" applyAlignment="1">
      <x:alignment horizontal="general" vertical="bottom" wrapText="1"/>
    </x:xf>
    <x:xf numFmtId="202" fontId="26" fillId="15" borderId="19" xfId="0" applyNumberFormat="1" applyFont="1" applyFill="1" applyBorder="1" applyAlignment="1">
      <x:alignment horizontal="general" vertical="bottom" wrapText="1"/>
    </x:xf>
    <x:xf numFmtId="202" fontId="26" fillId="15" borderId="20" xfId="0" applyNumberFormat="1" applyFont="1" applyFill="1" applyBorder="1" applyAlignment="1">
      <x:alignment horizontal="general" vertical="bottom" wrapText="1"/>
    </x:xf>
    <x:xf numFmtId="164" fontId="26" fillId="0" borderId="12" xfId="0" applyNumberFormat="1" applyFont="1" applyFill="1" applyBorder="1" applyAlignment="1">
      <x:alignment horizontal="general" vertical="bottom" wrapText="1"/>
    </x:xf>
    <x:xf numFmtId="202" fontId="26" fillId="0" borderId="14" xfId="0" applyNumberFormat="1" applyFont="1" applyFill="1" applyBorder="1" applyAlignment="1">
      <x:alignment horizontal="general" vertical="bottom" wrapText="1"/>
    </x:xf>
    <x:xf numFmtId="164" fontId="27" fillId="13" borderId="15" xfId="0" applyNumberFormat="1" applyFont="1" applyFill="1" applyBorder="1" applyAlignment="1">
      <x:alignment horizontal="general" vertical="bottom" wrapText="1"/>
    </x:xf>
    <x:xf numFmtId="202" fontId="27" fillId="13" borderId="17" xfId="0" applyNumberFormat="1" applyFont="1" applyFill="1" applyBorder="1" applyAlignment="1">
      <x:alignment horizontal="general" vertical="bottom" wrapText="1"/>
    </x:xf>
    <x:xf numFmtId="204" fontId="27" fillId="13" borderId="17" xfId="0" applyNumberFormat="1" applyFont="1" applyFill="1" applyBorder="1" applyAlignment="1">
      <x:alignment horizontal="general" vertical="bottom" wrapText="1"/>
    </x:xf>
    <x:xf numFmtId="164" fontId="26" fillId="0" borderId="18" xfId="0" applyNumberFormat="1" applyFont="1" applyFill="1" applyBorder="1" applyAlignment="1">
      <x:alignment horizontal="general" vertical="bottom" wrapText="1"/>
    </x:xf>
    <x:xf numFmtId="171" fontId="26" fillId="0" borderId="20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right" vertical="bottom" wrapText="1"/>
    </x:xf>
    <x:xf numFmtId="201" fontId="9" fillId="0" borderId="16" xfId="0" applyNumberFormat="1" applyFont="1" applyFill="1" applyBorder="1" applyAlignment="1">
      <x:alignment horizontal="right" vertical="bottom" wrapText="1"/>
    </x:xf>
    <x:xf numFmtId="202" fontId="9" fillId="0" borderId="16" xfId="0" applyNumberFormat="1" applyFont="1" applyFill="1" applyBorder="1" applyAlignment="1">
      <x:alignment horizontal="right" vertical="bottom" wrapText="1"/>
    </x:xf>
    <x:xf numFmtId="171" fontId="26" fillId="0" borderId="16" xfId="0" applyNumberFormat="1" applyFont="1" applyFill="1" applyBorder="1" applyAlignment="1">
      <x:alignment horizontal="right" vertical="bottom" wrapText="1"/>
    </x:xf>
    <x:xf numFmtId="201" fontId="26" fillId="0" borderId="16" xfId="0" applyNumberFormat="1" applyFont="1" applyFill="1" applyBorder="1" applyAlignment="1">
      <x:alignment horizontal="right" vertical="bottom" wrapText="1"/>
    </x:xf>
    <x:xf numFmtId="171" fontId="27" fillId="13" borderId="19" xfId="0" applyNumberFormat="1" applyFont="1" applyFill="1" applyBorder="1" applyAlignment="1">
      <x:alignment horizontal="right" vertical="bottom" wrapText="1"/>
    </x:xf>
    <x:xf numFmtId="164" fontId="0" fillId="0" borderId="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right" vertical="bottom" wrapText="1"/>
    </x:xf>
    <x:xf numFmtId="164" fontId="8" fillId="12" borderId="13" xfId="0" applyNumberFormat="1" applyFont="1" applyFill="1" applyBorder="1" applyAlignment="1">
      <x:alignment horizontal="right" vertical="bottom" wrapText="1"/>
    </x:xf>
    <x:xf numFmtId="202" fontId="26" fillId="0" borderId="16" xfId="0" applyNumberFormat="1" applyFont="1" applyFill="1" applyBorder="1" applyAlignment="1">
      <x:alignment horizontal="right" vertical="bottom" wrapText="1"/>
    </x:xf>
    <x:xf numFmtId="202" fontId="26" fillId="14" borderId="19" xfId="0" applyNumberFormat="1" applyFont="1" applyFill="1" applyBorder="1" applyAlignment="1">
      <x:alignment horizontal="right" vertical="bottom" wrapText="1"/>
    </x:xf>
    <x:xf numFmtId="203" fontId="26" fillId="0" borderId="16" xfId="0" applyNumberFormat="1" applyFont="1" applyFill="1" applyBorder="1" applyAlignment="1">
      <x:alignment horizontal="right" vertical="bottom" wrapText="1"/>
    </x:xf>
    <x:xf numFmtId="202" fontId="26" fillId="15" borderId="19" xfId="0" applyNumberFormat="1" applyFont="1" applyFill="1" applyBorder="1" applyAlignment="1">
      <x:alignment horizontal="right" vertical="bottom" wrapText="1"/>
    </x:xf>
    <x:xf numFmtId="202" fontId="26" fillId="0" borderId="14" xfId="0" applyNumberFormat="1" applyFont="1" applyFill="1" applyBorder="1" applyAlignment="1">
      <x:alignment horizontal="right" vertical="bottom" wrapText="1"/>
    </x:xf>
    <x:xf numFmtId="202" fontId="26" fillId="0" borderId="17" xfId="0" applyNumberFormat="1" applyFont="1" applyFill="1" applyBorder="1" applyAlignment="1">
      <x:alignment horizontal="right" vertical="bottom" wrapText="1"/>
    </x:xf>
    <x:xf numFmtId="202" fontId="27" fillId="13" borderId="17" xfId="0" applyNumberFormat="1" applyFont="1" applyFill="1" applyBorder="1" applyAlignment="1">
      <x:alignment horizontal="right" vertical="bottom" wrapText="1"/>
    </x:xf>
    <x:xf numFmtId="204" fontId="27" fillId="13" borderId="17" xfId="0" applyNumberFormat="1" applyFont="1" applyFill="1" applyBorder="1" applyAlignment="1">
      <x:alignment horizontal="right" vertical="bottom" wrapText="1"/>
    </x:xf>
    <x:xf numFmtId="171" fontId="26" fillId="0" borderId="20" xfId="0" applyNumberFormat="1" applyFont="1" applyFill="1" applyBorder="1" applyAlignment="1">
      <x:alignment horizontal="right" vertical="bottom" wrapText="1"/>
    </x:xf>
    <x:xf numFmtId="164" fontId="8" fillId="12" borderId="14" xfId="0" applyNumberFormat="1" applyFont="1" applyFill="1" applyBorder="1" applyAlignment="1">
      <x:alignment horizontal="right" vertical="bottom" wrapText="1"/>
    </x:xf>
    <x:xf numFmtId="203" fontId="26" fillId="0" borderId="17" xfId="0" applyNumberFormat="1" applyFont="1" applyFill="1" applyBorder="1" applyAlignment="1">
      <x:alignment horizontal="right" vertical="bottom" wrapText="1"/>
    </x:xf>
    <x:xf numFmtId="171" fontId="26" fillId="0" borderId="17" xfId="0" applyNumberFormat="1" applyFont="1" applyFill="1" applyBorder="1" applyAlignment="1">
      <x:alignment horizontal="right" vertical="bottom" wrapText="1"/>
    </x:xf>
    <x:xf numFmtId="202" fontId="26" fillId="15" borderId="2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left" vertical="bottom" wrapText="1"/>
    </x:xf>
    <x:xf numFmtId="164" fontId="26" fillId="0" borderId="15" xfId="0" applyNumberFormat="1" applyFont="1" applyFill="1" applyBorder="1" applyAlignment="1">
      <x:alignment horizontal="left" vertical="bottom" wrapText="1"/>
    </x:xf>
    <x:xf numFmtId="164" fontId="27" fillId="13" borderId="18" xfId="0" applyNumberFormat="1" applyFont="1" applyFill="1" applyBorder="1" applyAlignment="1">
      <x:alignment horizontal="left" vertical="bottom" wrapText="1"/>
    </x:xf>
    <x:xf numFmtId="164" fontId="26" fillId="0" borderId="0" xfId="0" applyNumberFormat="1" applyFont="1" applyFill="1" applyBorder="1" applyAlignment="1">
      <x:alignment horizontal="left" vertical="bottom" wrapText="1"/>
    </x:xf>
    <x:xf numFmtId="164" fontId="27" fillId="11" borderId="0" xfId="0" applyNumberFormat="1" applyFont="1" applyFill="1" applyBorder="1" applyAlignment="1">
      <x:alignment horizontal="left" vertical="bottom" wrapText="1"/>
    </x:xf>
    <x:xf numFmtId="164" fontId="26" fillId="14" borderId="18" xfId="0" applyNumberFormat="1" applyFont="1" applyFill="1" applyBorder="1" applyAlignment="1">
      <x:alignment horizontal="left" vertical="bottom" wrapText="1"/>
    </x:xf>
    <x:xf numFmtId="164" fontId="26" fillId="15" borderId="18" xfId="0" applyNumberFormat="1" applyFont="1" applyFill="1" applyBorder="1" applyAlignment="1">
      <x:alignment horizontal="left" vertical="bottom" wrapText="1"/>
    </x:xf>
    <x:xf numFmtId="164" fontId="26" fillId="0" borderId="12" xfId="0" applyNumberFormat="1" applyFont="1" applyFill="1" applyBorder="1" applyAlignment="1">
      <x:alignment horizontal="left" vertical="bottom" wrapText="1"/>
    </x:xf>
    <x:xf numFmtId="164" fontId="27" fillId="13" borderId="15" xfId="0" applyNumberFormat="1" applyFont="1" applyFill="1" applyBorder="1" applyAlignment="1">
      <x:alignment horizontal="left" vertical="bottom" wrapText="1"/>
    </x:xf>
    <x:xf numFmtId="164" fontId="26" fillId="0" borderId="18" xfId="0" applyNumberFormat="1" applyFont="1" applyFill="1" applyBorder="1" applyAlignment="1">
      <x:alignment horizontal="left" vertical="bottom" wrapText="1"/>
    </x:xf>
    <x:xf numFmtId="164" fontId="12" fillId="0" borderId="16" xfId="0" applyNumberFormat="1" applyFont="1" applyFill="1" applyBorder="1" applyAlignment="1">
      <x:alignment horizontal="left" vertical="bottom" wrapText="1"/>
    </x:xf>
    <x:xf numFmtId="164" fontId="0" fillId="0" borderId="16" xfId="0" applyNumberFormat="1" applyFont="1" applyFill="1" applyBorder="1" applyAlignment="1">
      <x:alignment horizontal="left" vertical="bottom" wrapText="1"/>
    </x:xf>
    <x:xf numFmtId="164" fontId="0" fillId="0" borderId="17" xfId="0" applyNumberFormat="1" applyFont="1" applyFill="1" applyBorder="1" applyAlignment="1">
      <x:alignment horizontal="left" vertical="bottom" wrapText="1"/>
    </x:xf>
    <x:xf numFmtId="164" fontId="12" fillId="13" borderId="19" xfId="0" applyNumberFormat="1" applyFont="1" applyFill="1" applyBorder="1" applyAlignment="1">
      <x:alignment horizontal="left" vertical="bottom" wrapText="1"/>
    </x:xf>
    <x:xf numFmtId="164" fontId="0" fillId="13" borderId="19" xfId="0" applyNumberFormat="1" applyFont="1" applyFill="1" applyBorder="1" applyAlignment="1">
      <x:alignment horizontal="left" vertical="bottom" wrapText="1"/>
    </x:xf>
    <x:xf numFmtId="164" fontId="0" fillId="13" borderId="20" xfId="0" applyNumberFormat="1" applyFont="1" applyFill="1" applyBorder="1" applyAlignment="1">
      <x:alignment horizontal="left" vertical="bottom" wrapText="1"/>
    </x:xf>
    <x:xf numFmtId="164" fontId="12" fillId="0" borderId="0" xfId="0" applyNumberFormat="1" applyFont="1" applyFill="1" applyBorder="1" applyAlignment="1">
      <x:alignment horizontal="left" vertical="bottom" wrapText="1"/>
    </x:xf>
    <x:xf numFmtId="164" fontId="0" fillId="0" borderId="0" xfId="0" applyNumberFormat="1" applyFont="1" applyFill="1" applyBorder="1" applyAlignment="1">
      <x:alignment horizontal="left" vertical="bottom" wrapText="1"/>
    </x:xf>
    <x:xf numFmtId="164" fontId="28" fillId="11" borderId="0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left" vertical="bottom" wrapText="1"/>
    </x:xf>
    <x:xf numFmtId="164" fontId="8" fillId="12" borderId="14" xfId="0" applyNumberFormat="1" applyFont="1" applyFill="1" applyBorder="1" applyAlignment="1">
      <x:alignment horizontal="left" vertical="bottom" wrapText="1"/>
    </x:xf>
    <x:xf numFmtId="164" fontId="12" fillId="14" borderId="19" xfId="0" applyNumberFormat="1" applyFont="1" applyFill="1" applyBorder="1" applyAlignment="1">
      <x:alignment horizontal="left" vertical="bottom" wrapText="1"/>
    </x:xf>
    <x:xf numFmtId="164" fontId="0" fillId="14" borderId="19" xfId="0" applyNumberFormat="1" applyFont="1" applyFill="1" applyBorder="1" applyAlignment="1">
      <x:alignment horizontal="left" vertical="bottom" wrapText="1"/>
    </x:xf>
    <x:xf numFmtId="164" fontId="0" fillId="14" borderId="2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general" vertical="bottom" wrapText="1"/>
    </x:xf>
    <x:xf numFmtId="164" fontId="25" fillId="3" borderId="0" xfId="0" applyNumberFormat="1" applyFont="1" applyFill="1" applyBorder="1" applyAlignment="1">
      <x:alignment horizontal="right" vertical="bottom" wrapText="1"/>
    </x:xf>
    <x:xf numFmtId="164" fontId="29" fillId="3" borderId="0" xfId="0" applyNumberFormat="1" applyFont="1" applyFill="1" applyBorder="1" applyAlignment="1">
      <x:alignment horizontal="left" vertical="bottom" wrapText="1"/>
    </x:xf>
    <x:xf numFmtId="164" fontId="8" fillId="9" borderId="12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center" vertical="bottom" wrapText="1"/>
    </x:xf>
    <x:xf numFmtId="164" fontId="8" fillId="9" borderId="14" xfId="0" applyNumberFormat="1" applyFont="1" applyFill="1" applyBorder="1" applyAlignment="1">
      <x:alignment horizontal="center" vertical="bottom" wrapText="1"/>
    </x:xf>
    <x:xf numFmtId="164" fontId="8" fillId="9" borderId="13" xfId="0" applyNumberFormat="1" applyFont="1" applyFill="1" applyBorder="1" applyAlignment="1">
      <x:alignment horizontal="right" vertical="bottom" wrapText="1"/>
    </x:xf>
    <x:xf numFmtId="164" fontId="30" fillId="9" borderId="13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right" vertical="bottom" wrapText="1"/>
    </x:xf>
    <x:xf numFmtId="205" fontId="27" fillId="8" borderId="17" xfId="0" applyNumberFormat="1" applyFont="1" applyFill="1" applyBorder="1" applyAlignment="1">
      <x:alignment horizontal="right" vertical="bottom" wrapText="1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25" fillId="16" borderId="0" xfId="0" applyNumberFormat="1" applyFont="1" applyFill="1" applyBorder="1" applyAlignment="1">
      <x:alignment horizontal="general" vertical="bottom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center" vertical="bottom" wrapText="0"/>
    </x:xf>
    <x:xf numFmtId="164" fontId="8" fillId="17" borderId="0" xfId="0" applyNumberFormat="1" applyFont="1" applyFill="1" applyBorder="1" applyAlignment="1">
      <x:alignment horizontal="left" vertical="bottom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right" vertical="bottom" wrapText="0"/>
    </x:xf>
    <x:xf numFmtId="164" fontId="26" fillId="19" borderId="0" xfId="0" applyNumberFormat="1" applyFont="1" applyFill="1" applyBorder="1" applyAlignment="1">
      <x:alignment horizontal="right" vertical="bottom" wrapText="0"/>
    </x:xf>
    <x:xf numFmtId="164" fontId="27" fillId="19" borderId="0" xfId="0" applyNumberFormat="1" applyFont="1" applyFill="1" applyBorder="1" applyAlignment="1">
      <x:alignment horizontal="right" vertical="bottom" wrapText="0"/>
    </x:xf>
    <x:xf numFmtId="171" fontId="8" fillId="17" borderId="0" xfId="0" applyNumberFormat="1" applyFont="1" applyFill="1" applyBorder="1" applyAlignment="1">
      <x:alignment horizontal="center" vertical="bottom" wrapText="0"/>
    </x:xf>
    <x:xf numFmtId="205" fontId="26" fillId="18" borderId="0" xfId="0" applyNumberFormat="1" applyFont="1" applyFill="1" applyBorder="1" applyAlignment="1">
      <x:alignment horizontal="right" vertical="bottom" wrapText="0"/>
    </x:xf>
    <x:xf numFmtId="205" fontId="27" fillId="19" borderId="0" xfId="0" applyNumberFormat="1" applyFont="1" applyFill="1" applyBorder="1" applyAlignment="1">
      <x:alignment horizontal="right" vertical="bottom" wrapText="0"/>
    </x:xf>
    <x:xf numFmtId="164" fontId="8" fillId="17" borderId="21" xfId="0" applyNumberFormat="1" applyFont="1" applyFill="1" applyBorder="1" applyAlignment="1">
      <x:alignment horizontal="left" vertical="bottom" wrapText="0"/>
    </x:xf>
    <x:xf numFmtId="171" fontId="8" fillId="17" borderId="21" xfId="0" applyNumberFormat="1" applyFont="1" applyFill="1" applyBorder="1" applyAlignment="1">
      <x:alignment horizontal="center" vertical="bottom" wrapText="0"/>
    </x:xf>
    <x:xf numFmtId="205" fontId="26" fillId="18" borderId="21" xfId="0" applyNumberFormat="1" applyFont="1" applyFill="1" applyBorder="1" applyAlignment="1">
      <x:alignment horizontal="right" vertical="bottom" wrapText="0"/>
    </x:xf>
    <x:xf numFmtId="205" fontId="27" fillId="19" borderId="21" xfId="0" applyNumberFormat="1" applyFont="1" applyFill="1" applyBorder="1" applyAlignment="1">
      <x:alignment horizontal="right" vertical="bottom" wrapText="0"/>
    </x:xf>
    <x:xf numFmtId="164" fontId="0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1"/>
    </x:xf>
    <x:xf numFmtId="164" fontId="12" fillId="20" borderId="0" xfId="0" applyNumberFormat="1" applyFont="1" applyFill="1" applyBorder="1" applyAlignment="1">
      <x:alignment horizontal="left" vertical="bottom" wrapText="1"/>
    </x:xf>
    <x:xf numFmtId="164" fontId="25" fillId="16" borderId="0" xfId="0" applyNumberFormat="1" applyFont="1" applyFill="1" applyBorder="1" applyAlignment="1">
      <x:alignment horizontal="general" vertical="center" wrapText="0"/>
    </x:xf>
    <x:xf numFmtId="164" fontId="8" fillId="17" borderId="21" xfId="0" applyNumberFormat="1" applyFont="1" applyFill="1" applyBorder="1" applyAlignment="1">
      <x:alignment horizontal="left" vertical="center" wrapText="0"/>
    </x:xf>
    <x:xf numFmtId="171" fontId="8" fillId="17" borderId="21" xfId="0" applyNumberFormat="1" applyFont="1" applyFill="1" applyBorder="1" applyAlignment="1">
      <x:alignment horizontal="center" vertical="center" wrapText="0"/>
    </x:xf>
    <x:xf numFmtId="205" fontId="26" fillId="18" borderId="21" xfId="0" applyNumberFormat="1" applyFont="1" applyFill="1" applyBorder="1" applyAlignment="1">
      <x:alignment horizontal="right" vertical="center" wrapText="0"/>
    </x:xf>
    <x:xf numFmtId="205" fontId="27" fillId="19" borderId="21" xfId="0" applyNumberFormat="1" applyFont="1" applyFill="1" applyBorder="1" applyAlignment="1">
      <x:alignment horizontal="right" vertical="center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12" fillId="20" borderId="0" xfId="0" applyNumberFormat="1" applyFont="1" applyFill="1" applyBorder="1" applyAlignment="1">
      <x:alignment horizontal="left" vertical="center" wrapText="1"/>
    </x:xf>
    <x:xf numFmtId="164" fontId="0" fillId="21" borderId="0" xfId="0" applyNumberFormat="1" applyFont="1" applyFill="1" applyBorder="1" applyAlignment="1">
      <x:alignment horizontal="general" vertical="bottom" wrapText="0"/>
    </x:xf>
    <x:xf numFmtId="164" fontId="25" fillId="21" borderId="0" xfId="0" applyNumberFormat="1" applyFont="1" applyFill="1" applyBorder="1" applyAlignment="1">
      <x:alignment horizontal="general" vertical="bottom" wrapText="0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8" fillId="22" borderId="0" xfId="0" applyNumberFormat="1" applyFont="1" applyFill="1" applyBorder="1" applyAlignment="1">
      <x:alignment horizontal="general" vertical="bottom" wrapText="0"/>
    </x:xf>
    <x:xf numFmtId="164" fontId="8" fillId="22" borderId="0" xfId="0" applyNumberFormat="1" applyFont="1" applyFill="1" applyBorder="1" applyAlignment="1">
      <x:alignment horizontal="center" vertical="bottom" wrapText="0"/>
    </x:xf>
    <x:xf numFmtId="164" fontId="8" fillId="22" borderId="21" xfId="0" applyNumberFormat="1" applyFont="1" applyFill="1" applyBorder="1" applyAlignment="1">
      <x:alignment horizontal="center" vertical="bottom" wrapText="0"/>
    </x:xf>
    <x:xf numFmtId="164" fontId="8" fillId="22" borderId="21" xfId="0" applyNumberFormat="1" applyFont="1" applyFill="1" applyBorder="1" applyAlignment="1">
      <x:alignment horizontal="left" vertical="bottom" wrapText="0"/>
    </x:xf>
    <x:xf numFmtId="164" fontId="0" fillId="0" xfId="0" applyNumberFormat="1" applyFont="1" applyFill="1" applyBorder="0" applyAlignment="1">
      <x:alignment horizontal="general" vertical="bottom" wrapText="0"/>
    </x:xf>
    <x:xf numFmtId="164" fontId="0" fillId="0" borderId="10" xfId="0" applyNumberFormat="1" applyFont="1" applyFill="1" applyBorder="1" applyAlignment="1">
      <x:alignment horizontal="general" vertical="bottom" wrapText="0"/>
    </x:xf>
    <x:xf numFmtId="164" fontId="9" fillId="0" xfId="0" applyNumberFormat="1" applyFont="1" applyFill="1" applyBorder="0" applyAlignment="1">
      <x:alignment horizontal="general" vertical="bottom" wrapText="0"/>
    </x:xf>
    <x:xf numFmtId="164" fontId="26" fillId="0" xfId="0" applyNumberFormat="1" applyFont="1" applyFill="1" applyBorder="0" applyAlignment="1">
      <x:alignment horizontal="general" vertical="bottom" wrapText="0"/>
    </x:xf>
    <x:xf numFmtId="164" fontId="31" fillId="0" borderId="10" xfId="0" applyNumberFormat="1" applyFont="1" applyFill="1" applyBorder="1" applyAlignment="1">
      <x:alignment horizontal="general" vertical="bottom" wrapText="0"/>
    </x:xf>
    <x:xf numFmtId="171" fontId="9" fillId="0" xfId="0" applyNumberFormat="1" applyFont="1" applyFill="1" applyBorder="0" applyAlignment="1">
      <x:alignment horizontal="general" vertical="bottom" wrapText="0"/>
    </x:xf>
    <x:xf numFmtId="206" fontId="9" fillId="0" xfId="0" applyNumberFormat="1" applyFont="1" applyFill="1" applyBorder="0" applyAlignment="1">
      <x:alignment horizontal="general" vertical="bottom" wrapText="0"/>
    </x:xf>
    <x:xf numFmtId="206" fontId="26" fillId="0" xfId="0" applyNumberFormat="1" applyFont="1" applyFill="1" applyBorder="0" applyAlignment="1">
      <x:alignment horizontal="general" vertical="bottom" wrapText="0"/>
    </x:xf>
    <x:xf numFmtId="164" fontId="31" fillId="0" borderId="10" xfId="0" applyNumberFormat="1" applyFont="1" applyFill="1" applyBorder="1" applyAlignment="1">
      <x:alignment horizontal="center" vertical="bottom" wrapText="0"/>
    </x:xf>
    <x:xf numFmtId="207" fontId="0" fillId="0" borderId="0" xfId="0" applyNumberFormat="1" applyFont="1" applyFill="1" applyBorder="1" applyAlignment="1">
      <x:alignment horizontal="general" vertical="bottom" wrapText="0"/>
    </x:xf>
    <x:xf numFmtId="171" fontId="0" fillId="0" borderId="0" xfId="0" applyNumberFormat="1" applyFont="1" applyFill="1" applyBorder="1" applyAlignment="1">
      <x:alignment horizontal="general" vertical="bottom" wrapText="0"/>
    </x:xf>
    <x:xf numFmtId="207" fontId="26" fillId="0" borderId="0" xfId="0" applyNumberFormat="1" applyFont="1" applyFill="1" applyBorder="1" applyAlignment="1">
      <x:alignment horizontal="general" vertical="bottom" wrapText="0"/>
    </x:xf>
    <x:xf numFmtId="207" fontId="10" fillId="0" borderId="0" xfId="0" applyNumberFormat="1" applyFont="1" applyFill="1" applyBorder="1" applyAlignment="1">
      <x:alignment horizontal="general" vertical="bottom" wrapText="0"/>
    </x:xf>
    <x:xf numFmtId="164" fontId="0" fillId="23" borderId="0" xfId="0" applyNumberFormat="1" applyFont="1" applyFill="1" applyBorder="1" applyAlignment="1">
      <x:alignment horizontal="general" vertical="bottom" wrapText="0"/>
    </x:xf>
    <x:xf numFmtId="207" fontId="0" fillId="23" borderId="0" xfId="0" applyNumberFormat="1" applyFont="1" applyFill="1" applyBorder="1" applyAlignment="1">
      <x:alignment horizontal="general" vertical="bottom" wrapText="0"/>
    </x:xf>
    <x:xf numFmtId="164" fontId="27" fillId="23" borderId="0" xfId="0" applyNumberFormat="1" applyFont="1" applyFill="1" applyBorder="1" applyAlignment="1">
      <x:alignment horizontal="general" vertical="bottom" wrapText="0"/>
    </x:xf>
    <x:xf numFmtId="207" fontId="27" fillId="23" borderId="0" xfId="0" applyNumberFormat="1" applyFont="1" applyFill="1" applyBorder="1" applyAlignment="1">
      <x:alignment horizontal="general" vertical="bottom" wrapText="0"/>
    </x:xf>
    <x:xf numFmtId="208" fontId="0" fillId="0" borderId="0" xfId="0" applyNumberFormat="1" applyFont="1" applyFill="1" applyBorder="1" applyAlignment="1">
      <x:alignment horizontal="general" vertical="bottom" wrapText="0"/>
    </x:xf>
    <x:xf numFmtId="209" fontId="0" fillId="0" borderId="0" xfId="0" applyNumberFormat="1" applyFont="1" applyFill="1" applyBorder="1" applyAlignment="1">
      <x:alignment horizontal="general" vertical="bottom" wrapText="0"/>
    </x:xf>
    <x:xf numFmtId="209" fontId="0" fillId="23" borderId="0" xfId="0" applyNumberFormat="1" applyFont="1" applyFill="1" applyBorder="1" applyAlignment="1">
      <x:alignment horizontal="general" vertical="bottom" wrapText="0"/>
    </x:xf>
    <x:xf numFmtId="209" fontId="27" fillId="23" borderId="0" xfId="0" applyNumberFormat="1" applyFont="1" applyFill="1" applyBorder="1" applyAlignment="1">
      <x:alignment horizontal="general" vertical="bottom" wrapText="0"/>
    </x:xf>
    <x:xf numFmtId="207" fontId="0" fillId="24" borderId="0" xfId="0" applyNumberFormat="1" applyFont="1" applyFill="1" applyBorder="1" applyAlignment="1">
      <x:alignment horizontal="general" vertical="bottom" wrapText="0"/>
    </x:xf>
    <x:xf numFmtId="209" fontId="0" fillId="24" borderId="0" xfId="0" applyNumberFormat="1" applyFont="1" applyFill="1" applyBorder="1" applyAlignment="1">
      <x:alignment horizontal="general" vertical="bottom" wrapText="0"/>
    </x:xf>
    <x:xf numFmtId="207" fontId="0" fillId="24" xfId="0" applyNumberFormat="1" applyFont="1" applyFill="1" applyBorder="0" applyAlignment="1">
      <x:alignment horizontal="general" vertical="bottom" wrapText="0"/>
    </x:xf>
    <x:xf numFmtId="207" fontId="0" fillId="23" xfId="0" applyNumberFormat="1" applyFont="1" applyFill="1" applyBorder="0" applyAlignment="1">
      <x:alignment horizontal="general" vertical="bottom" wrapText="0"/>
    </x:xf>
    <x:xf numFmtId="207" fontId="0" fillId="0" xfId="0" applyNumberFormat="1" applyFont="1" applyFill="1" applyBorder="0" applyAlignment="1">
      <x:alignment horizontal="general" vertical="bottom" wrapText="0"/>
    </x:xf>
    <x:xf numFmtId="209" fontId="0" fillId="24" borderId="10" xfId="0" applyNumberFormat="1" applyFont="1" applyFill="1" applyBorder="1" applyAlignment="1">
      <x:alignment horizontal="general" vertical="bottom" wrapText="0"/>
    </x:xf>
    <x:xf numFmtId="209" fontId="0" fillId="23" borderId="10" xfId="0" applyNumberFormat="1" applyFont="1" applyFill="1" applyBorder="1" applyAlignment="1">
      <x:alignment horizontal="general" vertical="bottom" wrapText="0"/>
    </x:xf>
    <x:xf numFmtId="209" fontId="0" fillId="0" borderId="10" xfId="0" applyNumberFormat="1" applyFont="1" applyFill="1" applyBorder="1" applyAlignment="1">
      <x:alignment horizontal="general" vertical="bottom" wrapText="0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12" fillId="25" borderId="0" xfId="0" applyNumberFormat="1" applyFont="1" applyFill="1" applyBorder="1" applyAlignment="1">
      <x:alignment horizontal="general" vertical="bottom" wrapText="0"/>
    </x:xf>
    <x:xf numFmtId="164" fontId="12" fillId="25" borderId="0" xfId="0" applyNumberFormat="1" applyFont="1" applyFill="1" applyBorder="1" applyAlignment="1">
      <x:alignment horizontal="general" vertical="bottom" wrapText="1"/>
    </x:xf>
    <x:xf numFmtId="164" fontId="12" fillId="25" borderId="0" xfId="0" applyNumberFormat="1" applyFont="1" applyFill="1" applyBorder="1" applyAlignment="1">
      <x:alignment horizontal="left" vertical="bottom" wrapText="1"/>
    </x:xf>
    <x:xf numFmtId="164" fontId="25" fillId="21" borderId="0" xfId="0" applyNumberFormat="1" applyFont="1" applyFill="1" applyBorder="1" applyAlignment="1">
      <x:alignment horizontal="general" vertical="center" wrapText="0"/>
    </x:xf>
    <x:xf numFmtId="164" fontId="8" fillId="22" borderId="21" xfId="0" applyNumberFormat="1" applyFont="1" applyFill="1" applyBorder="1" applyAlignment="1">
      <x:alignment horizontal="left" vertical="center" wrapText="0"/>
    </x:xf>
    <x:xf numFmtId="164" fontId="8" fillId="22" borderId="21" xfId="0" applyNumberFormat="1" applyFont="1" applyFill="1" applyBorder="1" applyAlignment="1">
      <x:alignment horizontal="center" vertical="center" wrapText="0"/>
    </x:xf>
    <x:xf numFmtId="164" fontId="0" fillId="0" xfId="0" applyNumberFormat="1" applyFont="1" applyFill="1" applyBorder="0" applyAlignment="1">
      <x:alignment horizontal="general" vertical="center" wrapText="0"/>
    </x:xf>
    <x:xf numFmtId="171" fontId="9" fillId="0" xfId="0" applyNumberFormat="1" applyFont="1" applyFill="1" applyBorder="0" applyAlignment="1">
      <x:alignment horizontal="general" vertical="center" wrapText="0"/>
    </x:xf>
    <x:xf numFmtId="206" fontId="9" fillId="0" xfId="0" applyNumberFormat="1" applyFont="1" applyFill="1" applyBorder="0" applyAlignment="1">
      <x:alignment horizontal="general" vertical="center" wrapText="0"/>
    </x:xf>
    <x:xf numFmtId="206" fontId="26" fillId="0" xfId="0" applyNumberFormat="1" applyFont="1" applyFill="1" applyBorder="0" applyAlignment="1">
      <x:alignment horizontal="general" vertical="center" wrapText="0"/>
    </x:xf>
    <x:xf numFmtId="164" fontId="0" fillId="0" borderId="10" xfId="0" applyNumberFormat="1" applyFont="1" applyFill="1" applyBorder="1" applyAlignment="1">
      <x:alignment horizontal="general" vertical="center" wrapText="0"/>
    </x:xf>
    <x:xf numFmtId="164" fontId="31" fillId="0" borderId="10" xfId="0" applyNumberFormat="1" applyFont="1" applyFill="1" applyBorder="1" applyAlignment="1">
      <x:alignment horizontal="center" vertical="center" wrapText="0"/>
    </x:xf>
    <x:xf numFmtId="164" fontId="12" fillId="25" borderId="0" xfId="0" applyNumberFormat="1" applyFont="1" applyFill="1" applyBorder="1" applyAlignment="1">
      <x:alignment horizontal="left" vertical="center" wrapText="1"/>
    </x:xf>
    <x:xf numFmtId="207" fontId="26" fillId="0" borderId="0" xfId="0" applyNumberFormat="1" applyFont="1" applyFill="1" applyBorder="1" applyAlignment="1">
      <x:alignment horizontal="general" vertical="center" wrapText="0"/>
    </x:xf>
    <x:xf numFmtId="171" fontId="26" fillId="0" borderId="0" xfId="0" applyNumberFormat="1" applyFont="1" applyFill="1" applyBorder="1" applyAlignment="1">
      <x:alignment horizontal="general" vertical="center" wrapText="0"/>
    </x:xf>
    <x:xf numFmtId="164" fontId="26" fillId="0" borderId="0" xfId="0" applyNumberFormat="1" applyFont="1" applyFill="1" applyBorder="1" applyAlignment="1">
      <x:alignment horizontal="general" vertical="center" wrapText="0"/>
    </x:xf>
    <x:xf numFmtId="207" fontId="10" fillId="0" borderId="0" xfId="0" applyNumberFormat="1" applyFont="1" applyFill="1" applyBorder="1" applyAlignment="1">
      <x:alignment horizontal="general" vertical="center" wrapText="0"/>
    </x:xf>
    <x:xf numFmtId="207" fontId="0" fillId="0" borderId="0" xfId="0" applyNumberFormat="1" applyFont="1" applyFill="1" applyBorder="1" applyAlignment="1">
      <x:alignment horizontal="general" vertical="center" wrapText="0"/>
    </x:xf>
    <x:xf numFmtId="171" fontId="0" fillId="0" borderId="0" xfId="0" applyNumberFormat="1" applyFont="1" applyFill="1" applyBorder="1" applyAlignment="1">
      <x:alignment horizontal="general" vertical="center" wrapText="0"/>
    </x:xf>
    <x:xf numFmtId="164" fontId="27" fillId="23" borderId="0" xfId="0" applyNumberFormat="1" applyFont="1" applyFill="1" applyBorder="1" applyAlignment="1">
      <x:alignment horizontal="general" vertical="center" wrapText="0"/>
    </x:xf>
    <x:xf numFmtId="207" fontId="27" fillId="23" borderId="0" xfId="0" applyNumberFormat="1" applyFont="1" applyFill="1" applyBorder="1" applyAlignment="1">
      <x:alignment horizontal="general" vertical="center" wrapText="0"/>
    </x:xf>
    <x:xf numFmtId="208" fontId="0" fillId="0" borderId="0" xfId="0" applyNumberFormat="1" applyFont="1" applyFill="1" applyBorder="1" applyAlignment="1">
      <x:alignment horizontal="general" vertical="center" wrapText="0"/>
    </x:xf>
    <x:xf numFmtId="209" fontId="27" fillId="23" borderId="0" xfId="0" applyNumberFormat="1" applyFont="1" applyFill="1" applyBorder="1" applyAlignment="1">
      <x:alignment horizontal="general" vertical="center" wrapText="0"/>
    </x:xf>
    <x:xf numFmtId="209" fontId="0" fillId="0" borderId="0" xfId="0" applyNumberFormat="1" applyFont="1" applyFill="1" applyBorder="1" applyAlignment="1">
      <x:alignment horizontal="general" vertical="center" wrapText="0"/>
    </x:xf>
    <x:xf numFmtId="207" fontId="0" fillId="24" xfId="0" applyNumberFormat="1" applyFont="1" applyFill="1" applyBorder="0" applyAlignment="1">
      <x:alignment horizontal="general" vertical="center" wrapText="0"/>
    </x:xf>
    <x:xf numFmtId="207" fontId="0" fillId="23" xfId="0" applyNumberFormat="1" applyFont="1" applyFill="1" applyBorder="0" applyAlignment="1">
      <x:alignment horizontal="general" vertical="center" wrapText="0"/>
    </x:xf>
    <x:xf numFmtId="207" fontId="0" fillId="0" xfId="0" applyNumberFormat="1" applyFont="1" applyFill="1" applyBorder="0" applyAlignment="1">
      <x:alignment horizontal="general" vertical="center" wrapText="0"/>
    </x:xf>
    <x:xf numFmtId="209" fontId="0" fillId="24" borderId="10" xfId="0" applyNumberFormat="1" applyFont="1" applyFill="1" applyBorder="1" applyAlignment="1">
      <x:alignment horizontal="general" vertical="center" wrapText="0"/>
    </x:xf>
    <x:xf numFmtId="209" fontId="0" fillId="23" borderId="10" xfId="0" applyNumberFormat="1" applyFont="1" applyFill="1" applyBorder="1" applyAlignment="1">
      <x:alignment horizontal="general" vertical="center" wrapText="0"/>
    </x:xf>
    <x:xf numFmtId="209" fontId="0" fillId="0" borderId="10" xfId="0" applyNumberFormat="1" applyFont="1" applyFill="1" applyBorder="1" applyAlignment="1">
      <x:alignment horizontal="general" vertical="center" wrapText="0"/>
    </x:xf>
    <x:xf numFmtId="164" fontId="25" fillId="26" borderId="0" xfId="0" applyNumberFormat="1" applyFont="1" applyFill="1" applyBorder="1" applyAlignment="1">
      <x:alignment horizontal="general" vertical="center" wrapText="0"/>
    </x:xf>
    <x:xf numFmtId="164" fontId="8" fillId="27" borderId="21" xfId="0" applyNumberFormat="1" applyFont="1" applyFill="1" applyBorder="1" applyAlignment="1">
      <x:alignment horizontal="left" vertical="center" wrapText="0"/>
    </x:xf>
    <x:xf numFmtId="164" fontId="8" fillId="27" borderId="21" xfId="0" applyNumberFormat="1" applyFont="1" applyFill="1" applyBorder="1" applyAlignment="1">
      <x:alignment horizontal="center" vertical="center" wrapText="0"/>
    </x:xf>
    <x:xf numFmtId="207" fontId="27" fillId="8" borderId="0" xfId="0" applyNumberFormat="1" applyFont="1" applyFill="1" applyBorder="1" applyAlignment="1">
      <x:alignment horizontal="general" vertical="center" wrapText="0"/>
    </x:xf>
    <x:xf numFmtId="164" fontId="27" fillId="28" borderId="0" xfId="0" applyNumberFormat="1" applyFont="1" applyFill="1" applyBorder="1" applyAlignment="1">
      <x:alignment horizontal="general" vertical="center" wrapText="0"/>
    </x:xf>
    <x:xf numFmtId="207" fontId="27" fillId="28" borderId="0" xfId="0" applyNumberFormat="1" applyFont="1" applyFill="1" applyBorder="1" applyAlignment="1">
      <x:alignment horizontal="general" vertical="center" wrapText="0"/>
    </x:xf>
    <x:xf numFmtId="209" fontId="27" fillId="8" borderId="0" xfId="0" applyNumberFormat="1" applyFont="1" applyFill="1" applyBorder="1" applyAlignment="1">
      <x:alignment horizontal="general" vertical="center" wrapText="0"/>
    </x:xf>
    <x:xf numFmtId="209" fontId="27" fillId="28" borderId="0" xfId="0" applyNumberFormat="1" applyFont="1" applyFill="1" applyBorder="1" applyAlignment="1">
      <x:alignment horizontal="general" vertical="center" wrapText="0"/>
    </x:xf>
    <x:xf numFmtId="207" fontId="0" fillId="10" xfId="0" applyNumberFormat="1" applyFont="1" applyFill="1" applyBorder="0" applyAlignment="1">
      <x:alignment horizontal="general" vertical="center" wrapText="0"/>
    </x:xf>
    <x:xf numFmtId="207" fontId="0" fillId="8" xfId="0" applyNumberFormat="1" applyFont="1" applyFill="1" applyBorder="0" applyAlignment="1">
      <x:alignment horizontal="general" vertical="center" wrapText="0"/>
    </x:xf>
    <x:xf numFmtId="209" fontId="0" fillId="10" borderId="10" xfId="0" applyNumberFormat="1" applyFont="1" applyFill="1" applyBorder="1" applyAlignment="1">
      <x:alignment horizontal="general" vertical="center" wrapText="0"/>
    </x:xf>
    <x:xf numFmtId="209" fontId="0" fillId="8" borderId="10" xfId="0" applyNumberFormat="1" applyFont="1" applyFill="1" applyBorder="1" applyAlignment="1">
      <x:alignment horizontal="general" vertical="center" wrapText="0"/>
    </x:xf>
    <x:xf numFmtId="207" fontId="0" fillId="29" xfId="0" applyNumberFormat="1" applyFont="1" applyFill="1" applyBorder="0" applyAlignment="1">
      <x:alignment horizontal="general" vertical="center" wrapText="0"/>
    </x:xf>
    <x:xf numFmtId="209" fontId="0" fillId="29" borderId="10" xfId="0" applyNumberFormat="1" applyFont="1" applyFill="1" applyBorder="1" applyAlignment="1">
      <x:alignment horizontal="general" vertical="center" wrapText="0"/>
    </x:xf>
    <x:xf numFmtId="207" fontId="0" fillId="28" xfId="0" applyNumberFormat="1" applyFont="1" applyFill="1" applyBorder="0" applyAlignment="1">
      <x:alignment horizontal="general" vertical="center" wrapText="0"/>
    </x:xf>
    <x:xf numFmtId="209" fontId="0" fillId="28" borderId="10" xfId="0" applyNumberFormat="1" applyFont="1" applyFill="1" applyBorder="1" applyAlignment="1">
      <x:alignment horizontal="general" vertical="center" wrapText="0"/>
    </x:xf>
    <x:xf numFmtId="164" fontId="12" fillId="30" borderId="0" xfId="0" applyNumberFormat="1" applyFont="1" applyFill="1" applyBorder="1" applyAlignment="1">
      <x:alignment horizontal="left" vertical="center" wrapText="1"/>
    </x:xf>
    <x:xf numFmtId="164" fontId="25" fillId="31" borderId="0" xfId="0" applyNumberFormat="1" applyFont="1" applyFill="1" applyBorder="1" applyAlignment="1">
      <x:alignment horizontal="general" vertical="center" wrapText="0"/>
    </x:xf>
    <x:xf numFmtId="164" fontId="8" fillId="32" borderId="21" xfId="0" applyNumberFormat="1" applyFont="1" applyFill="1" applyBorder="1" applyAlignment="1">
      <x:alignment horizontal="left" vertical="center" wrapText="0"/>
    </x:xf>
    <x:xf numFmtId="164" fontId="8" fillId="32" borderId="21" xfId="0" applyNumberFormat="1" applyFont="1" applyFill="1" applyBorder="1" applyAlignment="1">
      <x:alignment horizontal="center" vertical="center" wrapText="0"/>
    </x:xf>
    <x:xf numFmtId="164" fontId="27" fillId="33" borderId="0" xfId="0" applyNumberFormat="1" applyFont="1" applyFill="1" applyBorder="1" applyAlignment="1">
      <x:alignment horizontal="general" vertical="center" wrapText="0"/>
    </x:xf>
    <x:xf numFmtId="207" fontId="27" fillId="33" borderId="0" xfId="0" applyNumberFormat="1" applyFont="1" applyFill="1" applyBorder="1" applyAlignment="1">
      <x:alignment horizontal="general" vertical="center" wrapText="0"/>
    </x:xf>
    <x:xf numFmtId="209" fontId="27" fillId="33" borderId="0" xfId="0" applyNumberFormat="1" applyFont="1" applyFill="1" applyBorder="1" applyAlignment="1">
      <x:alignment horizontal="general" vertical="center" wrapText="0"/>
    </x:xf>
    <x:xf numFmtId="207" fontId="0" fillId="34" xfId="0" applyNumberFormat="1" applyFont="1" applyFill="1" applyBorder="0" applyAlignment="1">
      <x:alignment horizontal="general" vertical="center" wrapText="0"/>
    </x:xf>
    <x:xf numFmtId="209" fontId="0" fillId="34" borderId="10" xfId="0" applyNumberFormat="1" applyFont="1" applyFill="1" applyBorder="1" applyAlignment="1">
      <x:alignment horizontal="general" vertical="center" wrapText="0"/>
    </x:xf>
    <x:xf numFmtId="207" fontId="0" fillId="33" xfId="0" applyNumberFormat="1" applyFont="1" applyFill="1" applyBorder="0" applyAlignment="1">
      <x:alignment horizontal="general" vertical="center" wrapText="0"/>
    </x:xf>
    <x:xf numFmtId="209" fontId="0" fillId="33" borderId="10" xfId="0" applyNumberFormat="1" applyFont="1" applyFill="1" applyBorder="1" applyAlignment="1">
      <x:alignment horizontal="general" vertical="center" wrapText="0"/>
    </x:xf>
    <x:xf numFmtId="164" fontId="12" fillId="35" borderId="0" xfId="0" applyNumberFormat="1" applyFont="1" applyFill="1" applyBorder="1" applyAlignment="1">
      <x:alignment horizontal="left" vertical="center" wrapText="1"/>
    </x:xf>
    <x:xf numFmtId="164" fontId="0" fillId="36" borderId="0" xfId="0" applyNumberFormat="1" applyFont="1" applyFill="1" applyBorder="1" applyAlignment="1">
      <x:alignment horizontal="general" vertical="bottom" wrapText="0"/>
    </x:xf>
    <x:xf numFmtId="164" fontId="25" fillId="36" borderId="0" xfId="0" applyNumberFormat="1" applyFont="1" applyFill="1" applyBorder="1" applyAlignment="1">
      <x:alignment horizontal="general" vertical="bottom" wrapText="0"/>
    </x:xf>
    <x:xf numFmtId="164" fontId="0" fillId="37" borderId="0" xfId="0" applyNumberFormat="1" applyFont="1" applyFill="1" applyBorder="1" applyAlignment="1">
      <x:alignment horizontal="general" vertical="bottom" wrapText="0"/>
    </x:xf>
    <x:xf numFmtId="164" fontId="8" fillId="37" borderId="0" xfId="0" applyNumberFormat="1" applyFont="1" applyFill="1" applyBorder="1" applyAlignment="1">
      <x:alignment horizontal="general" vertical="bottom" wrapText="0"/>
    </x:xf>
    <x:xf numFmtId="164" fontId="8" fillId="37" borderId="0" xfId="0" applyNumberFormat="1" applyFont="1" applyFill="1" applyBorder="1" applyAlignment="1">
      <x:alignment horizontal="center" vertical="bottom" wrapText="0"/>
    </x:xf>
    <x:xf numFmtId="164" fontId="8" fillId="37" borderId="21" xfId="0" applyNumberFormat="1" applyFont="1" applyFill="1" applyBorder="1" applyAlignment="1">
      <x:alignment horizontal="center" vertical="bottom" wrapText="0"/>
    </x:xf>
    <x:xf numFmtId="164" fontId="8" fillId="37" borderId="21" xfId="0" applyNumberFormat="1" applyFont="1" applyFill="1" applyBorder="1" applyAlignment="1">
      <x:alignment horizontal="left" vertical="bottom" wrapText="0"/>
    </x:xf>
    <x:xf numFmtId="164" fontId="10" fillId="0" borderId="0" xfId="0" applyNumberFormat="1" applyFont="1" applyFill="1" applyBorder="1" applyAlignment="1">
      <x:alignment horizontal="general" vertical="bottom" wrapText="0"/>
    </x:xf>
    <x:xf numFmtId="207" fontId="9" fillId="0" borderId="0" xfId="0" applyNumberFormat="1" applyFont="1" applyFill="1" applyBorder="1" applyAlignment="1">
      <x:alignment horizontal="general" vertical="bottom" wrapText="0"/>
    </x:xf>
    <x:xf numFmtId="207" fontId="9" fillId="0" xfId="0" applyNumberFormat="1" applyFont="1" applyFill="1" applyBorder="0" applyAlignment="1">
      <x:alignment horizontal="general" vertical="bottom" wrapText="0"/>
    </x:xf>
    <x:xf numFmtId="207" fontId="26" fillId="0" xfId="0" applyNumberFormat="1" applyFont="1" applyFill="1" applyBorder="0" applyAlignment="1">
      <x:alignment horizontal="general" vertical="bottom" wrapText="0"/>
    </x:xf>
    <x:xf numFmtId="207" fontId="10" fillId="0" xfId="0" applyNumberFormat="1" applyFont="1" applyFill="1" applyBorder="0" applyAlignment="1">
      <x:alignment horizontal="general" vertical="bottom" wrapText="0"/>
    </x:xf>
    <x:xf numFmtId="171" fontId="26" fillId="0" xfId="0" applyNumberFormat="1" applyFont="1" applyFill="1" applyBorder="0" applyAlignment="1">
      <x:alignment horizontal="general" vertical="bottom" wrapText="0"/>
    </x:xf>
    <x:xf numFmtId="201" fontId="9" fillId="0" xfId="0" applyNumberFormat="1" applyFont="1" applyFill="1" applyBorder="0" applyAlignment="1">
      <x:alignment horizontal="general" vertical="bottom" wrapText="0"/>
    </x:xf>
    <x:xf numFmtId="201" fontId="26" fillId="0" xfId="0" applyNumberFormat="1" applyFont="1" applyFill="1" applyBorder="0" applyAlignment="1">
      <x:alignment horizontal="general" vertical="bottom" wrapText="0"/>
    </x:xf>
    <x:xf numFmtId="164" fontId="9" fillId="0" borderId="10" xfId="0" applyNumberFormat="1" applyFont="1" applyFill="1" applyBorder="1" applyAlignment="1">
      <x:alignment horizontal="general" vertical="bottom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207" fontId="0" fillId="38" borderId="0" xfId="0" applyNumberFormat="1" applyFont="1" applyFill="1" applyBorder="1" applyAlignment="1">
      <x:alignment horizontal="general" vertical="bottom" wrapText="0"/>
    </x:xf>
    <x:xf numFmtId="164" fontId="27" fillId="38" borderId="0" xfId="0" applyNumberFormat="1" applyFont="1" applyFill="1" applyBorder="1" applyAlignment="1">
      <x:alignment horizontal="general" vertical="bottom" wrapText="0"/>
    </x:xf>
    <x:xf numFmtId="207" fontId="27" fillId="38" borderId="0" xfId="0" applyNumberFormat="1" applyFont="1" applyFill="1" applyBorder="1" applyAlignment="1">
      <x:alignment horizontal="general" vertical="bottom" wrapText="0"/>
    </x:xf>
    <x:xf numFmtId="209" fontId="0" fillId="38" borderId="0" xfId="0" applyNumberFormat="1" applyFont="1" applyFill="1" applyBorder="1" applyAlignment="1">
      <x:alignment horizontal="general" vertical="bottom" wrapText="0"/>
    </x:xf>
    <x:xf numFmtId="209" fontId="27" fillId="38" borderId="0" xfId="0" applyNumberFormat="1" applyFont="1" applyFill="1" applyBorder="1" applyAlignment="1">
      <x:alignment horizontal="general" vertical="bottom" wrapText="0"/>
    </x:xf>
    <x:xf numFmtId="210" fontId="0" fillId="0" borderId="0" xfId="0" applyNumberFormat="1" applyFont="1" applyFill="1" applyBorder="1" applyAlignment="1">
      <x:alignment horizontal="general" vertical="bottom" wrapText="0"/>
    </x:xf>
    <x:xf numFmtId="210" fontId="0" fillId="0" xfId="0" applyNumberFormat="1" applyFont="1" applyFill="1" applyBorder="0" applyAlignment="1">
      <x:alignment horizontal="general" vertical="bottom" wrapText="0"/>
    </x:xf>
    <x:xf numFmtId="209" fontId="0" fillId="0" xfId="0" applyNumberFormat="1" applyFont="1" applyFill="1" applyBorder="0" applyAlignment="1">
      <x:alignment horizontal="general" vertical="bottom" wrapText="0"/>
    </x:xf>
    <x:xf numFmtId="210" fontId="0" fillId="0" borderId="10" xfId="0" applyNumberFormat="1" applyFont="1" applyFill="1" applyBorder="1" applyAlignment="1">
      <x:alignment horizontal="general" vertical="bottom" wrapText="0"/>
    </x:xf>
    <x:xf numFmtId="207" fontId="0" fillId="0" borderId="10" xfId="0" applyNumberFormat="1" applyFont="1" applyFill="1" applyBorder="1" applyAlignment="1">
      <x:alignment horizontal="general" vertical="bottom" wrapText="0"/>
    </x:xf>
    <x:xf numFmtId="210" fontId="0" fillId="38" xfId="0" applyNumberFormat="1" applyFont="1" applyFill="1" applyBorder="0" applyAlignment="1">
      <x:alignment horizontal="general" vertical="bottom" wrapText="0"/>
    </x:xf>
    <x:xf numFmtId="207" fontId="0" fillId="38" xfId="0" applyNumberFormat="1" applyFont="1" applyFill="1" applyBorder="0" applyAlignment="1">
      <x:alignment horizontal="general" vertical="bottom" wrapText="0"/>
    </x:xf>
    <x:xf numFmtId="209" fontId="0" fillId="38" xfId="0" applyNumberFormat="1" applyFont="1" applyFill="1" applyBorder="0" applyAlignment="1">
      <x:alignment horizontal="general" vertical="bottom" wrapText="0"/>
    </x:xf>
    <x:xf numFmtId="207" fontId="0" fillId="39" borderId="0" xfId="0" applyNumberFormat="1" applyFont="1" applyFill="1" applyBorder="1" applyAlignment="1">
      <x:alignment horizontal="general" vertical="bottom" wrapText="0"/>
    </x:xf>
    <x:xf numFmtId="209" fontId="0" fillId="39" borderId="0" xfId="0" applyNumberFormat="1" applyFont="1" applyFill="1" applyBorder="1" applyAlignment="1">
      <x:alignment horizontal="general" vertical="bottom" wrapText="0"/>
    </x:xf>
    <x:xf numFmtId="171" fontId="0" fillId="39" borderId="0" xfId="0" applyNumberFormat="1" applyFont="1" applyFill="1" applyBorder="1" applyAlignment="1">
      <x:alignment horizontal="general" vertical="bottom" wrapText="0"/>
    </x:xf>
    <x:xf numFmtId="171" fontId="0" fillId="38" borderId="0" xfId="0" applyNumberFormat="1" applyFont="1" applyFill="1" applyBorder="1" applyAlignment="1">
      <x:alignment horizontal="general" vertical="bottom" wrapText="0"/>
    </x:xf>
    <x:xf numFmtId="207" fontId="0" fillId="40" borderId="0" xfId="0" applyNumberFormat="1" applyFont="1" applyFill="1" applyBorder="1" applyAlignment="1">
      <x:alignment horizontal="general" vertical="bottom" wrapText="0"/>
    </x:xf>
    <x:xf numFmtId="209" fontId="0" fillId="40" borderId="0" xfId="0" applyNumberFormat="1" applyFont="1" applyFill="1" applyBorder="1" applyAlignment="1">
      <x:alignment horizontal="general" vertical="bottom" wrapText="0"/>
    </x:xf>
    <x:xf numFmtId="171" fontId="0" fillId="40" borderId="0" xfId="0" applyNumberFormat="1" applyFont="1" applyFill="1" applyBorder="1" applyAlignment="1">
      <x:alignment horizontal="general" vertical="bottom" wrapText="0"/>
    </x:xf>
    <x:xf numFmtId="207" fontId="0" fillId="39" xfId="0" applyNumberFormat="1" applyFont="1" applyFill="1" applyBorder="0" applyAlignment="1">
      <x:alignment horizontal="general" vertical="bottom" wrapText="0"/>
    </x:xf>
    <x:xf numFmtId="207" fontId="0" fillId="40" xfId="0" applyNumberFormat="1" applyFont="1" applyFill="1" applyBorder="0" applyAlignment="1">
      <x:alignment horizontal="general" vertical="bottom" wrapText="0"/>
    </x:xf>
    <x:xf numFmtId="209" fontId="0" fillId="39" xfId="0" applyNumberFormat="1" applyFont="1" applyFill="1" applyBorder="0" applyAlignment="1">
      <x:alignment horizontal="general" vertical="bottom" wrapText="0"/>
    </x:xf>
    <x:xf numFmtId="209" fontId="0" fillId="40" xfId="0" applyNumberFormat="1" applyFont="1" applyFill="1" applyBorder="0" applyAlignment="1">
      <x:alignment horizontal="general" vertical="bottom" wrapText="0"/>
    </x:xf>
    <x:xf numFmtId="171" fontId="0" fillId="39" borderId="10" xfId="0" applyNumberFormat="1" applyFont="1" applyFill="1" applyBorder="1" applyAlignment="1">
      <x:alignment horizontal="general" vertical="bottom" wrapText="0"/>
    </x:xf>
    <x:xf numFmtId="171" fontId="0" fillId="38" borderId="10" xfId="0" applyNumberFormat="1" applyFont="1" applyFill="1" applyBorder="1" applyAlignment="1">
      <x:alignment horizontal="general" vertical="bottom" wrapText="0"/>
    </x:xf>
    <x:xf numFmtId="171" fontId="0" fillId="40" borderId="10" xfId="0" applyNumberFormat="1" applyFont="1" applyFill="1" applyBorder="1" applyAlignment="1">
      <x:alignment horizontal="general" vertical="bottom" wrapText="0"/>
    </x:xf>
    <x:xf numFmtId="164" fontId="0" fillId="40" borderId="0" xfId="0" applyNumberFormat="1" applyFont="1" applyFill="1" applyBorder="1" applyAlignment="1">
      <x:alignment horizontal="general" vertical="bottom" wrapText="0"/>
    </x:xf>
    <x:xf numFmtId="164" fontId="12" fillId="40" borderId="0" xfId="0" applyNumberFormat="1" applyFont="1" applyFill="1" applyBorder="1" applyAlignment="1">
      <x:alignment horizontal="general" vertical="bottom" wrapText="0"/>
    </x:xf>
    <x:xf numFmtId="164" fontId="12" fillId="40" borderId="0" xfId="0" applyNumberFormat="1" applyFont="1" applyFill="1" applyBorder="1" applyAlignment="1">
      <x:alignment horizontal="general" vertical="bottom" wrapText="1"/>
    </x:xf>
    <x:xf numFmtId="164" fontId="12" fillId="40" borderId="0" xfId="0" applyNumberFormat="1" applyFont="1" applyFill="1" applyBorder="1" applyAlignment="1">
      <x:alignment horizontal="left" vertical="bottom" wrapText="1"/>
    </x:xf>
    <x:xf numFmtId="164" fontId="25" fillId="36" borderId="0" xfId="0" applyNumberFormat="1" applyFont="1" applyFill="1" applyBorder="1" applyAlignment="1">
      <x:alignment horizontal="general" vertical="center" wrapText="0"/>
    </x:xf>
    <x:xf numFmtId="164" fontId="8" fillId="37" borderId="21" xfId="0" applyNumberFormat="1" applyFont="1" applyFill="1" applyBorder="1" applyAlignment="1">
      <x:alignment horizontal="left" vertical="center" wrapText="0"/>
    </x:xf>
    <x:xf numFmtId="164" fontId="8" fillId="37" borderId="21" xfId="0" applyNumberFormat="1" applyFont="1" applyFill="1" applyBorder="1" applyAlignment="1">
      <x:alignment horizontal="center" vertical="center" wrapText="0"/>
    </x:xf>
    <x:xf numFmtId="207" fontId="9" fillId="0" xfId="0" applyNumberFormat="1" applyFont="1" applyFill="1" applyBorder="0" applyAlignment="1">
      <x:alignment horizontal="general" vertical="center" wrapText="0"/>
    </x:xf>
    <x:xf numFmtId="207" fontId="26" fillId="0" xfId="0" applyNumberFormat="1" applyFont="1" applyFill="1" applyBorder="0" applyAlignment="1">
      <x:alignment horizontal="general" vertical="center" wrapText="0"/>
    </x:xf>
    <x:xf numFmtId="207" fontId="10" fillId="0" xfId="0" applyNumberFormat="1" applyFont="1" applyFill="1" applyBorder="0" applyAlignment="1">
      <x:alignment horizontal="general" vertical="center" wrapText="0"/>
    </x:xf>
    <x:xf numFmtId="171" fontId="26" fillId="0" xfId="0" applyNumberFormat="1" applyFont="1" applyFill="1" applyBorder="0" applyAlignment="1">
      <x:alignment horizontal="general" vertical="center" wrapText="0"/>
    </x:xf>
    <x:xf numFmtId="201" fontId="9" fillId="0" xfId="0" applyNumberFormat="1" applyFont="1" applyFill="1" applyBorder="0" applyAlignment="1">
      <x:alignment horizontal="general" vertical="center" wrapText="0"/>
    </x:xf>
    <x:xf numFmtId="201" fontId="26" fillId="0" xfId="0" applyNumberFormat="1" applyFont="1" applyFill="1" applyBorder="0" applyAlignment="1">
      <x:alignment horizontal="general" vertical="center" wrapText="0"/>
    </x:xf>
    <x:xf numFmtId="164" fontId="9" fillId="0" borderId="10" xfId="0" applyNumberFormat="1" applyFont="1" applyFill="1" applyBorder="1" applyAlignment="1">
      <x:alignment horizontal="general" vertical="center" wrapText="0"/>
    </x:xf>
    <x:xf numFmtId="164" fontId="12" fillId="40" borderId="0" xfId="0" applyNumberFormat="1" applyFont="1" applyFill="1" applyBorder="1" applyAlignment="1">
      <x:alignment horizontal="left" vertical="center" wrapText="1"/>
    </x:xf>
    <x:xf numFmtId="171" fontId="9" fillId="0" borderId="0" xfId="0" applyNumberFormat="1" applyFont="1" applyFill="1" applyBorder="1" applyAlignment="1">
      <x:alignment horizontal="general" vertical="center" wrapText="0"/>
    </x:xf>
    <x:xf numFmtId="207" fontId="9" fillId="0" borderId="0" xfId="0" applyNumberFormat="1" applyFont="1" applyFill="1" applyBorder="1" applyAlignment="1">
      <x:alignment horizontal="general" vertical="center" wrapText="0"/>
    </x:xf>
    <x:xf numFmtId="164" fontId="27" fillId="38" borderId="0" xfId="0" applyNumberFormat="1" applyFont="1" applyFill="1" applyBorder="1" applyAlignment="1">
      <x:alignment horizontal="general" vertical="center" wrapText="0"/>
    </x:xf>
    <x:xf numFmtId="207" fontId="27" fillId="38" borderId="0" xfId="0" applyNumberFormat="1" applyFont="1" applyFill="1" applyBorder="1" applyAlignment="1">
      <x:alignment horizontal="general" vertical="center" wrapText="0"/>
    </x:xf>
    <x:xf numFmtId="209" fontId="27" fillId="38" borderId="0" xfId="0" applyNumberFormat="1" applyFont="1" applyFill="1" applyBorder="1" applyAlignment="1">
      <x:alignment horizontal="general" vertical="center" wrapText="0"/>
    </x:xf>
    <x:xf numFmtId="210" fontId="0" fillId="0" xfId="0" applyNumberFormat="1" applyFont="1" applyFill="1" applyBorder="0" applyAlignment="1">
      <x:alignment horizontal="general" vertical="center" wrapText="0"/>
    </x:xf>
    <x:xf numFmtId="209" fontId="0" fillId="0" xfId="0" applyNumberFormat="1" applyFont="1" applyFill="1" applyBorder="0" applyAlignment="1">
      <x:alignment horizontal="general" vertical="center" wrapText="0"/>
    </x:xf>
    <x:xf numFmtId="210" fontId="0" fillId="38" xfId="0" applyNumberFormat="1" applyFont="1" applyFill="1" applyBorder="0" applyAlignment="1">
      <x:alignment horizontal="general" vertical="center" wrapText="0"/>
    </x:xf>
    <x:xf numFmtId="207" fontId="0" fillId="38" xfId="0" applyNumberFormat="1" applyFont="1" applyFill="1" applyBorder="0" applyAlignment="1">
      <x:alignment horizontal="general" vertical="center" wrapText="0"/>
    </x:xf>
    <x:xf numFmtId="209" fontId="0" fillId="38" xfId="0" applyNumberFormat="1" applyFont="1" applyFill="1" applyBorder="0" applyAlignment="1">
      <x:alignment horizontal="general" vertical="center" wrapText="0"/>
    </x:xf>
    <x:xf numFmtId="210" fontId="0" fillId="0" borderId="10" xfId="0" applyNumberFormat="1" applyFont="1" applyFill="1" applyBorder="1" applyAlignment="1">
      <x:alignment horizontal="general" vertical="center" wrapText="0"/>
    </x:xf>
    <x:xf numFmtId="207" fontId="0" fillId="0" borderId="10" xfId="0" applyNumberFormat="1" applyFont="1" applyFill="1" applyBorder="1" applyAlignment="1">
      <x:alignment horizontal="general" vertical="center" wrapText="0"/>
    </x:xf>
    <x:xf numFmtId="207" fontId="0" fillId="39" xfId="0" applyNumberFormat="1" applyFont="1" applyFill="1" applyBorder="0" applyAlignment="1">
      <x:alignment horizontal="general" vertical="center" wrapText="0"/>
    </x:xf>
    <x:xf numFmtId="207" fontId="0" fillId="40" xfId="0" applyNumberFormat="1" applyFont="1" applyFill="1" applyBorder="0" applyAlignment="1">
      <x:alignment horizontal="general" vertical="center" wrapText="0"/>
    </x:xf>
    <x:xf numFmtId="209" fontId="0" fillId="39" xfId="0" applyNumberFormat="1" applyFont="1" applyFill="1" applyBorder="0" applyAlignment="1">
      <x:alignment horizontal="general" vertical="center" wrapText="0"/>
    </x:xf>
    <x:xf numFmtId="209" fontId="0" fillId="40" xfId="0" applyNumberFormat="1" applyFont="1" applyFill="1" applyBorder="0" applyAlignment="1">
      <x:alignment horizontal="general" vertical="center" wrapText="0"/>
    </x:xf>
    <x:xf numFmtId="171" fontId="0" fillId="39" borderId="10" xfId="0" applyNumberFormat="1" applyFont="1" applyFill="1" applyBorder="1" applyAlignment="1">
      <x:alignment horizontal="general" vertical="center" wrapText="0"/>
    </x:xf>
    <x:xf numFmtId="171" fontId="0" fillId="38" borderId="10" xfId="0" applyNumberFormat="1" applyFont="1" applyFill="1" applyBorder="1" applyAlignment="1">
      <x:alignment horizontal="general" vertical="center" wrapText="0"/>
    </x:xf>
    <x:xf numFmtId="171" fontId="0" fillId="40" borderId="10" xfId="0" applyNumberFormat="1" applyFont="1" applyFill="1" applyBorder="1" applyAlignment="1">
      <x:alignment horizontal="general" vertical="center" wrapText="0"/>
    </x:xf>
    <x:xf numFmtId="164" fontId="25" fillId="41" borderId="0" xfId="0" applyNumberFormat="1" applyFont="1" applyFill="1" applyBorder="1" applyAlignment="1">
      <x:alignment horizontal="general" vertical="center" wrapText="0"/>
    </x:xf>
    <x:xf numFmtId="164" fontId="8" fillId="42" borderId="21" xfId="0" applyNumberFormat="1" applyFont="1" applyFill="1" applyBorder="1" applyAlignment="1">
      <x:alignment horizontal="left" vertical="center" wrapText="0"/>
    </x:xf>
    <x:xf numFmtId="164" fontId="8" fillId="42" borderId="21" xfId="0" applyNumberFormat="1" applyFont="1" applyFill="1" applyBorder="1" applyAlignment="1">
      <x:alignment horizontal="center" vertical="center" wrapText="0"/>
    </x:xf>
    <x:xf numFmtId="164" fontId="26" fillId="0" borderId="10" xfId="0" applyNumberFormat="1" applyFont="1" applyFill="1" applyBorder="1" applyAlignment="1">
      <x:alignment horizontal="general" vertical="center" wrapText="0"/>
    </x:xf>
    <x:xf numFmtId="164" fontId="27" fillId="43" borderId="0" xfId="0" applyNumberFormat="1" applyFont="1" applyFill="1" applyBorder="1" applyAlignment="1">
      <x:alignment horizontal="general" vertical="center" wrapText="0"/>
    </x:xf>
    <x:xf numFmtId="207" fontId="27" fillId="43" borderId="0" xfId="0" applyNumberFormat="1" applyFont="1" applyFill="1" applyBorder="1" applyAlignment="1">
      <x:alignment horizontal="general" vertical="center" wrapText="0"/>
    </x:xf>
    <x:xf numFmtId="209" fontId="27" fillId="43" borderId="0" xfId="0" applyNumberFormat="1" applyFont="1" applyFill="1" applyBorder="1" applyAlignment="1">
      <x:alignment horizontal="general" vertical="center" wrapText="0"/>
    </x:xf>
    <x:xf numFmtId="210" fontId="0" fillId="8" xfId="0" applyNumberFormat="1" applyFont="1" applyFill="1" applyBorder="0" applyAlignment="1">
      <x:alignment horizontal="general" vertical="center" wrapText="0"/>
    </x:xf>
    <x:xf numFmtId="209" fontId="0" fillId="8" xfId="0" applyNumberFormat="1" applyFont="1" applyFill="1" applyBorder="0" applyAlignment="1">
      <x:alignment horizontal="general" vertical="center" wrapText="0"/>
    </x:xf>
    <x:xf numFmtId="210" fontId="0" fillId="43" xfId="0" applyNumberFormat="1" applyFont="1" applyFill="1" applyBorder="0" applyAlignment="1">
      <x:alignment horizontal="general" vertical="center" wrapText="0"/>
    </x:xf>
    <x:xf numFmtId="207" fontId="0" fillId="43" xfId="0" applyNumberFormat="1" applyFont="1" applyFill="1" applyBorder="0" applyAlignment="1">
      <x:alignment horizontal="general" vertical="center" wrapText="0"/>
    </x:xf>
    <x:xf numFmtId="209" fontId="0" fillId="43" xfId="0" applyNumberFormat="1" applyFont="1" applyFill="1" applyBorder="0" applyAlignment="1">
      <x:alignment horizontal="general" vertical="center" wrapText="0"/>
    </x:xf>
    <x:xf numFmtId="207" fontId="0" fillId="6" xfId="0" applyNumberFormat="1" applyFont="1" applyFill="1" applyBorder="0" applyAlignment="1">
      <x:alignment horizontal="general" vertical="center" wrapText="0"/>
    </x:xf>
    <x:xf numFmtId="209" fontId="0" fillId="10" xfId="0" applyNumberFormat="1" applyFont="1" applyFill="1" applyBorder="0" applyAlignment="1">
      <x:alignment horizontal="general" vertical="center" wrapText="0"/>
    </x:xf>
    <x:xf numFmtId="209" fontId="0" fillId="6" xfId="0" applyNumberFormat="1" applyFont="1" applyFill="1" applyBorder="0" applyAlignment="1">
      <x:alignment horizontal="general" vertical="center" wrapText="0"/>
    </x:xf>
    <x:xf numFmtId="171" fontId="0" fillId="10" borderId="10" xfId="0" applyNumberFormat="1" applyFont="1" applyFill="1" applyBorder="1" applyAlignment="1">
      <x:alignment horizontal="general" vertical="center" wrapText="0"/>
    </x:xf>
    <x:xf numFmtId="171" fontId="0" fillId="8" borderId="10" xfId="0" applyNumberFormat="1" applyFont="1" applyFill="1" applyBorder="1" applyAlignment="1">
      <x:alignment horizontal="general" vertical="center" wrapText="0"/>
    </x:xf>
    <x:xf numFmtId="171" fontId="0" fillId="6" borderId="10" xfId="0" applyNumberFormat="1" applyFont="1" applyFill="1" applyBorder="1" applyAlignment="1">
      <x:alignment horizontal="general" vertical="center" wrapText="0"/>
    </x:xf>
    <x:xf numFmtId="207" fontId="0" fillId="44" xfId="0" applyNumberFormat="1" applyFont="1" applyFill="1" applyBorder="0" applyAlignment="1">
      <x:alignment horizontal="general" vertical="center" wrapText="0"/>
    </x:xf>
    <x:xf numFmtId="209" fontId="0" fillId="44" xfId="0" applyNumberFormat="1" applyFont="1" applyFill="1" applyBorder="0" applyAlignment="1">
      <x:alignment horizontal="general" vertical="center" wrapText="0"/>
    </x:xf>
    <x:xf numFmtId="171" fontId="0" fillId="44" borderId="10" xfId="0" applyNumberFormat="1" applyFont="1" applyFill="1" applyBorder="1" applyAlignment="1">
      <x:alignment horizontal="general" vertical="center" wrapText="0"/>
    </x:xf>
    <x:xf numFmtId="171" fontId="0" fillId="43" borderId="10" xfId="0" applyNumberFormat="1" applyFont="1" applyFill="1" applyBorder="1" applyAlignment="1">
      <x:alignment horizontal="general" vertical="center" wrapText="0"/>
    </x:xf>
    <x:xf numFmtId="207" fontId="0" fillId="45" xfId="0" applyNumberFormat="1" applyFont="1" applyFill="1" applyBorder="0" applyAlignment="1">
      <x:alignment horizontal="general" vertical="center" wrapText="0"/>
    </x:xf>
    <x:xf numFmtId="209" fontId="0" fillId="45" xfId="0" applyNumberFormat="1" applyFont="1" applyFill="1" applyBorder="0" applyAlignment="1">
      <x:alignment horizontal="general" vertical="center" wrapText="0"/>
    </x:xf>
    <x:xf numFmtId="171" fontId="0" fillId="45" borderId="10" xfId="0" applyNumberFormat="1" applyFont="1" applyFill="1" applyBorder="1" applyAlignment="1">
      <x:alignment horizontal="general" vertical="center" wrapText="0"/>
    </x:xf>
    <x:xf numFmtId="164" fontId="12" fillId="45" borderId="0" xfId="0" applyNumberFormat="1" applyFont="1" applyFill="1" applyBorder="1" applyAlignment="1">
      <x:alignment horizontal="left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9D6"/>
      <x:rgbColor rgb="FF808080"/>
      <x:rgbColor rgb="FF9999FF"/>
      <x:rgbColor rgb="FF993366"/>
      <x:rgbColor rgb="FFFFF2CC"/>
      <x:rgbColor rgb="FFD9EAF7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AF2F8"/>
      <x:rgbColor rgb="FFE2F0D9"/>
      <x:rgbColor rgb="FFE7E6E6"/>
      <x:rgbColor rgb="FFD9E2F3"/>
      <x:rgbColor rgb="FFFF99CC"/>
      <x:rgbColor rgb="FFCC99FF"/>
      <x:rgbColor rgb="FFF4B183"/>
      <x:rgbColor rgb="FF4472C4"/>
      <x:rgbColor rgb="FF33CCCC"/>
      <x:rgbColor rgb="FF99CC00"/>
      <x:rgbColor rgb="FFFFCC00"/>
      <x:rgbColor rgb="FFFF9900"/>
      <x:rgbColor rgb="FFFF6600"/>
      <x:rgbColor rgb="FF666666"/>
      <x:rgbColor rgb="FFA5A5A5"/>
      <x:rgbColor rgb="FF17365D"/>
      <x:rgbColor rgb="FF339966"/>
      <x:rgbColor rgb="FF003300"/>
      <x:rgbColor rgb="FF333300"/>
      <x:rgbColor rgb="FF993300"/>
      <x:rgbColor rgb="FF993366"/>
      <x:rgbColor rgb="FF1F4E78"/>
      <x:rgbColor rgb="FF222222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a8482bac144f21" /><Relationship Type="http://schemas.openxmlformats.org/officeDocument/2006/relationships/theme" Target="/xl/theme/theme1.xml" Id="Rae973862ada646de" /><Relationship Type="http://schemas.openxmlformats.org/officeDocument/2006/relationships/sharedStrings" Target="/xl/sharedStrings.xml" Id="R14e9690d3ff24fca" /><Relationship Type="http://schemas.openxmlformats.org/officeDocument/2006/relationships/worksheet" Target="/xl/worksheets/sheet1.xml" Id="R7962d4b259f148c5" /><Relationship Type="http://schemas.openxmlformats.org/officeDocument/2006/relationships/worksheet" Target="/xl/worksheets/sheet2.xml" Id="Reabf71765248468e" /><Relationship Type="http://schemas.openxmlformats.org/officeDocument/2006/relationships/worksheet" Target="/xl/worksheets/sheet3.xml" Id="R794de2ba3ec94caf" /><Relationship Type="http://schemas.openxmlformats.org/officeDocument/2006/relationships/worksheet" Target="/xl/worksheets/sheet4.xml" Id="R72ed22169d0b4b59" /><Relationship Type="http://schemas.openxmlformats.org/officeDocument/2006/relationships/worksheet" Target="/xl/worksheets/sheet5.xml" Id="Rfaafeabe54994597" /><Relationship Type="http://schemas.openxmlformats.org/officeDocument/2006/relationships/worksheet" Target="/xl/worksheets/sheet6.xml" Id="R629b11454a6142df" /><Relationship Type="http://schemas.microsoft.com/office/2017/10/relationships/person" Target="/xl/persons/person.xml" Id="R1dab5d82af98499b" /></Relationships>
</file>

<file path=xl/persons/person.xml><?xml version="1.0" encoding="utf-8"?>
<xltc:personList xmlns:xltc="http://schemas.microsoft.com/office/spreadsheetml/2018/threadedcomments">
  <xltc:person displayName="OpenAI" id="{6D7BAEB6-8A12-2AA9-658A-A20378DD7232}"/>
</xltc:personList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efa875db7cc64037" /><Relationship Type="http://schemas.openxmlformats.org/officeDocument/2006/relationships/vmlDrawing" Target="/xl/drawings/vmldrawing.vml" Id="R937bd0bfe724470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ColWidth="8.6796875" defaultRowHeight="15"/>
  <x:cols>
    <x:col min="1" max="2" width="3" hidden="0" customWidth="1"/>
    <x:col min="3" max="3" width="28" hidden="0" customWidth="1"/>
    <x:col min="4" max="4" width="60" hidden="0" customWidth="1"/>
    <x:col min="5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5" hidden="0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9.700000762939453" hidden="0">
      <x:c r="A3" s="1"/>
      <x:c r="B3" s="1"/>
      <x:c r="C3" s="2" t="s">
        <x:v>0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3"/>
      <x:c r="D4" s="3"/>
      <x:c r="E4" s="3"/>
      <x:c r="F4" s="3"/>
      <x:c r="G4" s="3"/>
      <x:c r="H4" s="3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>
      <x:c r="A6" s="1"/>
      <x:c r="B6" s="1"/>
      <x:c r="C6" s="4" t="s">
        <x:v>1</x:v>
      </x:c>
      <x:c r="D6" s="4"/>
      <x:c r="E6" s="4"/>
      <x:c r="F6" s="4"/>
      <x:c r="G6" s="4"/>
      <x:c r="H6" s="4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1"/>
      <x:c r="B7" s="1"/>
      <x:c r="C7" s="5" t="s">
        <x:v>2</x:v>
      </x:c>
      <x:c r="D7" s="5"/>
      <x:c r="E7" s="5"/>
      <x:c r="F7" s="5"/>
      <x:c r="G7" s="5"/>
      <x:c r="H7" s="5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1"/>
      <x:c r="B8" s="1"/>
      <x:c r="C8" s="5"/>
      <x:c r="D8" s="5"/>
      <x:c r="E8" s="5"/>
      <x:c r="F8" s="5"/>
      <x:c r="G8" s="5"/>
      <x:c r="H8" s="5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6" t="s">
        <x:v>3</x:v>
      </x:c>
      <x:c r="D10" s="1" t="str">
        <x:v>0.7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6" t="s">
        <x:v>4</x:v>
      </x:c>
      <x:c r="D11" s="7" t="n">
        <x:v>46279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6" t="s">
        <x:v>5</x:v>
      </x:c>
      <x:c r="D12" s="1" t="str">
        <x:v>US disposal-case DCF complete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6" t="s">
        <x:v>6</x:v>
      </x:c>
      <x:c r="D13" s="8" t="s">
        <x:v>7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" t="s">
        <x:v>8</x:v>
      </x:c>
      <x:c r="D15" s="4"/>
      <x:c r="E15" s="4"/>
      <x:c r="F15" s="4"/>
      <x:c r="G15" s="4"/>
      <x:c r="H15" s="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1"/>
      <x:c r="B16" s="1"/>
      <x:c r="C16" s="5" t="s">
        <x:v>9</x:v>
      </x:c>
      <x:c r="D16" s="5"/>
      <x:c r="E16" s="5"/>
      <x:c r="F16" s="5"/>
      <x:c r="G16" s="5"/>
      <x:c r="H16" s="5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1"/>
      <x:c r="B17" s="1"/>
      <x:c r="C17" s="5"/>
      <x:c r="D17" s="5"/>
      <x:c r="E17" s="5"/>
      <x:c r="F17" s="5"/>
      <x:c r="G17" s="5"/>
      <x:c r="H17" s="5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2" hidden="0" customHeight="1">
      <x:c r="A19" s="1"/>
      <x:c r="B19" s="1"/>
      <x:c r="C19" s="9" t="s">
        <x:v>10</x:v>
      </x:c>
      <x:c r="D19" s="10" t="s">
        <x:v>11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" t="s">
        <x:v>12</x:v>
      </x:c>
      <x:c r="D20" s="8" t="s">
        <x:v>13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2" t="s">
        <x:v>14</x:v>
      </x:c>
      <x:c r="D21" s="13" t="s">
        <x:v>15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2" t="s">
        <x:v>16</x:v>
      </x:c>
      <x:c r="D22" s="13" t="s">
        <x:v>17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4" t="s">
        <x:v>18</x:v>
      </x:c>
      <x:c r="D23" s="15" t="s">
        <x:v>19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4" t="s">
        <x:v>20</x:v>
      </x:c>
      <x:c r="D26" s="4"/>
      <x:c r="E26" s="4"/>
      <x:c r="F26" s="4"/>
      <x:c r="G26" s="4"/>
      <x:c r="H26" s="4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6" t="s">
        <x:v>21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 t="s">
        <x:v>22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7" t="s">
        <x:v>23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 t="s">
        <x:v>24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C7:H8"/>
    <x:mergeCell ref="C16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6" hidden="0" customWidth="1"/>
    <x:col min="4" max="8" width="12" hidden="0" customWidth="1"/>
    <x:col min="10" max="10" width="4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12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25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32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23" t="s">
        <x:v>33</x:v>
      </x:c>
      <x:c r="D7" s="24" t="n">
        <x:v>1320.4</x:v>
      </x:c>
      <x:c r="E7" s="24" t="n">
        <x:v>1580.7</x:v>
      </x:c>
      <x:c r="F7" s="24" t="n">
        <x:v>1912.1</x:v>
      </x:c>
      <x:c r="G7" s="24" t="n">
        <x:v>1931.6</x:v>
      </x:c>
      <x:c r="H7" s="24" t="n">
        <x:v>1922.6</x:v>
      </x:c>
      <x:c r="I7" s="1"/>
      <x:c r="J7" s="25" t="s">
        <x:v>34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6" t="s">
        <x:v>35</x:v>
      </x:c>
      <x:c r="D8" s="27"/>
      <x:c r="E8" s="27" t="n">
        <x:f aca="0">E7/D7-1</x:f>
        <x:v>0.19713723114207804</x:v>
      </x:c>
      <x:c r="F8" s="27" t="n">
        <x:f aca="0">F7/E7-1</x:f>
        <x:v>0.20965395078129934</x:v>
      </x:c>
      <x:c r="G8" s="27" t="n">
        <x:f aca="0">G7/F7-1</x:f>
        <x:v>0.010198211390617606</x:v>
      </x:c>
      <x:c r="H8" s="27" t="n">
        <x:f aca="0">H7/G7-1</x:f>
        <x:v>-0.004659349761855447</x:v>
      </x:c>
      <x:c r="I8" s="1"/>
      <x:c r="J8" s="25" t="s">
        <x:v>36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37</x:v>
      </x:c>
      <x:c r="D9" s="24" t="n">
        <x:v>137.4</x:v>
      </x:c>
      <x:c r="E9" s="24" t="n">
        <x:v>178.9</x:v>
      </x:c>
      <x:c r="F9" s="24" t="n">
        <x:v>215.2</x:v>
      </x:c>
      <x:c r="G9" s="24" t="n">
        <x:v>185.4</x:v>
      </x:c>
      <x:c r="H9" s="24" t="n">
        <x:v>217.9</x:v>
      </x:c>
      <x:c r="I9" s="1"/>
      <x:c r="J9" s="25" t="s">
        <x:v>34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6" t="s">
        <x:v>38</x:v>
      </x:c>
      <x:c r="D10" s="27" t="n">
        <x:f aca="0">D9/D7</x:f>
        <x:v>0.10405937594668282</x:v>
      </x:c>
      <x:c r="E10" s="27" t="n">
        <x:f aca="0">E9/E7</x:f>
        <x:v>0.113177706079585</x:v>
      </x:c>
      <x:c r="F10" s="27" t="n">
        <x:f aca="0">F9/F7</x:f>
        <x:v>0.1125464149364573</x:v>
      </x:c>
      <x:c r="G10" s="27" t="n">
        <x:f aca="0">G9/G7</x:f>
        <x:v>0.09598260509422242</x:v>
      </x:c>
      <x:c r="H10" s="27" t="n">
        <x:f aca="0">H9/H7</x:f>
        <x:v>0.11333610735462396</x:v>
      </x:c>
      <x:c r="I10" s="1"/>
      <x:c r="J10" s="25" t="s">
        <x:v>36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39</x:v>
      </x:c>
      <x:c r="D11" s="24" t="n">
        <x:v>20.6</x:v>
      </x:c>
      <x:c r="E11" s="24" t="n">
        <x:v>26.5</x:v>
      </x:c>
      <x:c r="F11" s="24" t="n">
        <x:v>29.4</x:v>
      </x:c>
      <x:c r="G11" s="24" t="n">
        <x:v>26.1</x:v>
      </x:c>
      <x:c r="H11" s="24" t="n">
        <x:v>31.5</x:v>
      </x:c>
      <x:c r="I11" s="1"/>
      <x:c r="J11" s="25" t="s">
        <x:v>34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3" t="s">
        <x:v>40</x:v>
      </x:c>
      <x:c r="D12" s="24" t="n">
        <x:v>220.7</x:v>
      </x:c>
      <x:c r="E12" s="24" t="n">
        <x:v>270.1</x:v>
      </x:c>
      <x:c r="F12" s="24" t="n">
        <x:v>320.2</x:v>
      </x:c>
      <x:c r="G12" s="24" t="n">
        <x:v>316.2</x:v>
      </x:c>
      <x:c r="H12" s="24" t="n">
        <x:v>343.2</x:v>
      </x:c>
      <x:c r="I12" s="1"/>
      <x:c r="J12" s="25" t="s">
        <x:v>34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41</x:v>
      </x:c>
      <x:c r="D13" s="24" t="n">
        <x:v>225.1</x:v>
      </x:c>
      <x:c r="E13" s="24" t="n">
        <x:v>-206.9</x:v>
      </x:c>
      <x:c r="F13" s="24" t="n">
        <x:v>-151.2</x:v>
      </x:c>
      <x:c r="G13" s="24" t="n">
        <x:v>-133.2</x:v>
      </x:c>
      <x:c r="H13" s="24" t="n">
        <x:v>-159.1</x:v>
      </x:c>
      <x:c r="I13" s="1"/>
      <x:c r="J13" s="25" t="s">
        <x:v>34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42</x:v>
      </x:c>
      <x:c r="D14" s="24" t="n">
        <x:v>1226.6</x:v>
      </x:c>
      <x:c r="E14" s="24" t="n">
        <x:v>1724.1</x:v>
      </x:c>
      <x:c r="F14" s="24" t="n">
        <x:v>1740.4</x:v>
      </x:c>
      <x:c r="G14" s="24" t="n">
        <x:v>1954.8</x:v>
      </x:c>
      <x:c r="H14" s="24" t="n">
        <x:v>1864</x:v>
      </x:c>
      <x:c r="I14" s="1"/>
      <x:c r="J14" s="25" t="s">
        <x:v>34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6" t="s">
        <x:v>43</x:v>
      </x:c>
      <x:c r="D15" s="28" t="n">
        <x:f aca="0">D14/D7</x:f>
        <x:v>0.9289609209330505</x:v>
      </x:c>
      <x:c r="E15" s="28" t="n">
        <x:f aca="0">E14/E7</x:f>
        <x:v>1.0907193015752514</x:v>
      </x:c>
      <x:c r="F15" s="28" t="n">
        <x:f aca="0">F14/F7</x:f>
        <x:v>0.9102034412426129</x:v>
      </x:c>
      <x:c r="G15" s="28" t="n">
        <x:f aca="0">G14/G7</x:f>
        <x:v>1.0120107682750052</x:v>
      </x:c>
      <x:c r="H15" s="28" t="n">
        <x:f aca="0">H14/H7</x:f>
        <x:v>0.9695204410693853</x:v>
      </x:c>
      <x:c r="I15" s="1"/>
      <x:c r="J15" s="25" t="s">
        <x:v>44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45</x:v>
      </x:c>
      <x:c r="D16" s="24"/>
      <x:c r="E16" s="24"/>
      <x:c r="F16" s="24"/>
      <x:c r="G16" s="24" t="n">
        <x:v>2845.2</x:v>
      </x:c>
      <x:c r="H16" s="24" t="n">
        <x:v>4421.4</x:v>
      </x:c>
      <x:c r="I16" s="1"/>
      <x:c r="J16" s="25" t="s">
        <x:v>46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/>
      <x:c r="D17" s="29"/>
      <x:c r="E17" s="29"/>
      <x:c r="F17" s="29"/>
      <x:c r="G17" s="29"/>
      <x:c r="H17" s="29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/>
      <x:c r="D18" s="29"/>
      <x:c r="E18" s="29"/>
      <x:c r="F18" s="29"/>
      <x:c r="G18" s="29"/>
      <x:c r="H18" s="2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30" t="s">
        <x:v>47</x:v>
      </x:c>
      <x:c r="D19" s="31"/>
      <x:c r="E19" s="31"/>
      <x:c r="F19" s="31"/>
      <x:c r="G19" s="31"/>
      <x:c r="H19" s="3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32" t="s">
        <x:v>48</x:v>
      </x:c>
      <x:c r="D20" s="33"/>
      <x:c r="E20" s="33"/>
      <x:c r="F20" s="33"/>
      <x:c r="G20" s="33"/>
      <x:c r="H20" s="34" t="n">
        <x:f aca="0">H7-Segments!H8</x:f>
        <x:v>0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5" t="s">
        <x:v>49</x:v>
      </x:c>
      <x:c r="D21" s="36"/>
      <x:c r="E21" s="36"/>
      <x:c r="F21" s="36"/>
      <x:c r="G21" s="36"/>
      <x:c r="H21" s="37" t="n">
        <x:f aca="0">H9-Segments!H15</x:f>
        <x:v>0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/>
      <x:c r="D22" s="29"/>
      <x:c r="E22" s="29"/>
      <x:c r="F22" s="29"/>
      <x:c r="G22" s="29"/>
      <x:c r="H22" s="29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/>
      <x:c r="D24" s="29"/>
      <x:c r="E24" s="29"/>
      <x:c r="F24" s="29"/>
      <x:c r="G24" s="29"/>
      <x:c r="H24" s="2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4" hidden="0" customWidth="1"/>
    <x:col min="4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50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51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33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52</x:v>
      </x:c>
      <x:c r="D8" s="38" t="n">
        <x:f aca="0">D9+D10</x:f>
        <x:v>1320.4</x:v>
      </x:c>
      <x:c r="E8" s="38" t="n">
        <x:f aca="0">E9+E10</x:f>
        <x:v>1580.6999999999998</x:v>
      </x:c>
      <x:c r="F8" s="38" t="n">
        <x:f aca="0">F9+F10</x:f>
        <x:v>1912.1000000000001</x:v>
      </x:c>
      <x:c r="G8" s="38" t="n">
        <x:f aca="0">G9+G10</x:f>
        <x:v>1931.6</x:v>
      </x:c>
      <x:c r="H8" s="38" t="n">
        <x:f aca="0">H9+H10</x:f>
        <x:v>1922.6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53</x:v>
      </x:c>
      <x:c r="D9" s="24" t="n">
        <x:v>1059.2</x:v>
      </x:c>
      <x:c r="E9" s="24" t="n">
        <x:v>1179.3</x:v>
      </x:c>
      <x:c r="F9" s="24" t="n">
        <x:v>1417.4</x:v>
      </x:c>
      <x:c r="G9" s="24" t="n">
        <x:v>1477.7</x:v>
      </x:c>
      <x:c r="H9" s="24" t="n">
        <x:v>1529.2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54</x:v>
      </x:c>
      <x:c r="D10" s="24" t="n">
        <x:v>261.2</x:v>
      </x:c>
      <x:c r="E10" s="24" t="n">
        <x:v>401.4</x:v>
      </x:c>
      <x:c r="F10" s="24" t="n">
        <x:v>494.7</x:v>
      </x:c>
      <x:c r="G10" s="24" t="n">
        <x:v>453.9</x:v>
      </x:c>
      <x:c r="H10" s="24" t="n">
        <x:v>393.4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6" t="s">
        <x:v>55</x:v>
      </x:c>
      <x:c r="D11" s="27"/>
      <x:c r="E11" s="27" t="n">
        <x:f aca="0">E9/D9-1</x:f>
        <x:v>0.11338746223564944</x:v>
      </x:c>
      <x:c r="F11" s="27" t="n">
        <x:f aca="0">F9/E9-1</x:f>
        <x:v>0.2018994318663616</x:v>
      </x:c>
      <x:c r="G11" s="27" t="n">
        <x:f aca="0">G9/F9-1</x:f>
        <x:v>0.04254268378721604</x:v>
      </x:c>
      <x:c r="H11" s="27" t="n">
        <x:f aca="0">H9/G9-1</x:f>
        <x:v>0.03485145834743175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6" t="s">
        <x:v>56</x:v>
      </x:c>
      <x:c r="D12" s="27"/>
      <x:c r="E12" s="27" t="n">
        <x:f aca="0">E10/D10-1</x:f>
        <x:v>0.5367534456355283</x:v>
      </x:c>
      <x:c r="F12" s="27" t="n">
        <x:f aca="0">F10/E10-1</x:f>
        <x:v>0.23243647234678622</x:v>
      </x:c>
      <x:c r="G12" s="27" t="n">
        <x:f aca="0">G10/F10-1</x:f>
        <x:v>-0.08247422680412375</x:v>
      </x:c>
      <x:c r="H12" s="27" t="n">
        <x:f aca="0">H10/G10-1</x:f>
        <x:v>-0.1332892707644856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/>
      <x:c r="D13" s="29"/>
      <x:c r="E13" s="29"/>
      <x:c r="F13" s="29"/>
      <x:c r="G13" s="29"/>
      <x:c r="H13" s="29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30" t="s">
        <x:v>57</x:v>
      </x:c>
      <x:c r="D14" s="31"/>
      <x:c r="E14" s="31"/>
      <x:c r="F14" s="31"/>
      <x:c r="G14" s="31"/>
      <x:c r="H14" s="3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3" t="s">
        <x:v>58</x:v>
      </x:c>
      <x:c r="D15" s="38" t="n">
        <x:f aca="0">D16+D17</x:f>
        <x:v>137.4</x:v>
      </x:c>
      <x:c r="E15" s="38" t="n">
        <x:f aca="0">E16+E17</x:f>
        <x:v>178.89999999999998</x:v>
      </x:c>
      <x:c r="F15" s="38" t="n">
        <x:f aca="0">F16+F17</x:f>
        <x:v>215.2</x:v>
      </x:c>
      <x:c r="G15" s="38" t="n">
        <x:f aca="0">G16+G17</x:f>
        <x:v>185.4</x:v>
      </x:c>
      <x:c r="H15" s="38" t="n">
        <x:f aca="0">H16+H17</x:f>
        <x:v>217.9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53</x:v>
      </x:c>
      <x:c r="D16" s="24" t="n">
        <x:v>135.6</x:v>
      </x:c>
      <x:c r="E16" s="24" t="n">
        <x:v>137.1</x:v>
      </x:c>
      <x:c r="F16" s="24" t="n">
        <x:v>163.4</x:v>
      </x:c>
      <x:c r="G16" s="24" t="n">
        <x:v>169</x:v>
      </x:c>
      <x:c r="H16" s="24" t="n">
        <x:v>182.3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 t="s">
        <x:v>54</x:v>
      </x:c>
      <x:c r="D17" s="24" t="n">
        <x:v>1.8</x:v>
      </x:c>
      <x:c r="E17" s="24" t="n">
        <x:v>41.8</x:v>
      </x:c>
      <x:c r="F17" s="24" t="n">
        <x:v>51.8</x:v>
      </x:c>
      <x:c r="G17" s="24" t="n">
        <x:v>16.4</x:v>
      </x:c>
      <x:c r="H17" s="24" t="n">
        <x:v>35.6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6" t="s">
        <x:v>59</x:v>
      </x:c>
      <x:c r="D18" s="27" t="n">
        <x:f aca="0">D15/D8</x:f>
        <x:v>0.10405937594668282</x:v>
      </x:c>
      <x:c r="E18" s="27" t="n">
        <x:f aca="0">E15/E8</x:f>
        <x:v>0.113177706079585</x:v>
      </x:c>
      <x:c r="F18" s="27" t="n">
        <x:f aca="0">F15/F8</x:f>
        <x:v>0.11254641493645728</x:v>
      </x:c>
      <x:c r="G18" s="27" t="n">
        <x:f aca="0">G15/G8</x:f>
        <x:v>0.09598260509422242</x:v>
      </x:c>
      <x:c r="H18" s="27" t="n">
        <x:f aca="0">H15/H8</x:f>
        <x:v>0.11333610735462396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6" t="s">
        <x:v>60</x:v>
      </x:c>
      <x:c r="D19" s="27" t="n">
        <x:f aca="0">D16/D9</x:f>
        <x:v>0.12802114803625378</x:v>
      </x:c>
      <x:c r="E19" s="27" t="n">
        <x:f aca="0">E16/E9</x:f>
        <x:v>0.11625540574917324</x:v>
      </x:c>
      <x:c r="F19" s="27" t="n">
        <x:f aca="0">F16/F9</x:f>
        <x:v>0.11528150134048257</x:v>
      </x:c>
      <x:c r="G19" s="27" t="n">
        <x:f aca="0">G16/G9</x:f>
        <x:v>0.11436692156730054</x:v>
      </x:c>
      <x:c r="H19" s="27" t="n">
        <x:f aca="0">H16/H9</x:f>
        <x:v>0.11921266021449124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6" t="s">
        <x:v>61</x:v>
      </x:c>
      <x:c r="D20" s="27" t="n">
        <x:f aca="0">D17/D10</x:f>
        <x:v>0.006891271056661563</x:v>
      </x:c>
      <x:c r="E20" s="27" t="n">
        <x:f aca="0">E17/E10</x:f>
        <x:v>0.10413552566018934</x:v>
      </x:c>
      <x:c r="F20" s="27" t="n">
        <x:f aca="0">F17/F10</x:f>
        <x:v>0.10470992520719628</x:v>
      </x:c>
      <x:c r="G20" s="27" t="n">
        <x:f aca="0">G17/G10</x:f>
        <x:v>0.03613130645516634</x:v>
      </x:c>
      <x:c r="H20" s="27" t="n">
        <x:f aca="0">H17/H10</x:f>
        <x:v>0.09049313675648196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62</x:v>
      </x:c>
      <x:c r="D21" s="31"/>
      <x:c r="E21" s="31"/>
      <x:c r="F21" s="31"/>
      <x:c r="G21" s="31"/>
      <x:c r="H21" s="3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6" t="s">
        <x:v>63</x:v>
      </x:c>
      <x:c r="D22" s="27" t="n">
        <x:f aca="0">D9/D8</x:f>
        <x:v>0.8021811572250833</x:v>
      </x:c>
      <x:c r="E22" s="27" t="n">
        <x:f aca="0">E9/E8</x:f>
        <x:v>0.7460618713228317</x:v>
      </x:c>
      <x:c r="F22" s="27" t="n">
        <x:f aca="0">F9/F8</x:f>
        <x:v>0.7412792217980231</x:v>
      </x:c>
      <x:c r="G22" s="27" t="n">
        <x:f aca="0">G9/G8</x:f>
        <x:v>0.7650134603437565</x:v>
      </x:c>
      <x:c r="H22" s="27" t="n">
        <x:f aca="0">H9/H8</x:f>
        <x:v>0.7953812545511287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64</x:v>
      </x:c>
      <x:c r="D24" s="39" t="s">
        <x:v>65</x:v>
      </x:c>
      <x:c r="E24" s="39"/>
      <x:c r="F24" s="39"/>
      <x:c r="G24" s="39"/>
      <x:c r="H24" s="3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47" hidden="0" customWidth="1"/>
    <x:col min="4" max="8" width="12" hidden="0" customWidth="1"/>
    <x:col min="10" max="10" width="38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66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67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68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69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33</x:v>
      </x:c>
      <x:c r="D8" s="40" t="n">
        <x:v>1320.4</x:v>
      </x:c>
      <x:c r="E8" s="40" t="n">
        <x:v>1580.7</x:v>
      </x:c>
      <x:c r="F8" s="40" t="n">
        <x:v>1912.1</x:v>
      </x:c>
      <x:c r="G8" s="40" t="n">
        <x:v>1931.6</x:v>
      </x:c>
      <x:c r="H8" s="40" t="n">
        <x:v>1922.6</x:v>
      </x:c>
      <x:c r="I8" s="1"/>
      <x:c r="J8" s="25" t="s">
        <x:v>70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71</x:v>
      </x:c>
      <x:c r="D9" s="40" t="n">
        <x:v>16.7</x:v>
      </x:c>
      <x:c r="E9" s="40" t="n">
        <x:v>49.6</x:v>
      </x:c>
      <x:c r="F9" s="40" t="n">
        <x:v>42.2</x:v>
      </x:c>
      <x:c r="G9" s="40" t="n">
        <x:v>39.2</x:v>
      </x:c>
      <x:c r="H9" s="40" t="n">
        <x:v>30.1</x:v>
      </x:c>
      <x:c r="I9" s="1"/>
      <x:c r="J9" s="25" t="s">
        <x:v>70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72</x:v>
      </x:c>
      <x:c r="D10" s="40" t="n">
        <x:v>187.7</x:v>
      </x:c>
      <x:c r="E10" s="40" t="n">
        <x:v>247.4</x:v>
      </x:c>
      <x:c r="F10" s="40" t="n">
        <x:v>283.9</x:v>
      </x:c>
      <x:c r="G10" s="40" t="n">
        <x:v>164.9</x:v>
      </x:c>
      <x:c r="H10" s="40" t="n">
        <x:v>289.9</x:v>
      </x:c>
      <x:c r="I10" s="1"/>
      <x:c r="J10" s="25" t="s">
        <x:v>70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73</x:v>
      </x:c>
      <x:c r="D11" s="40" t="n">
        <x:v>64</x:v>
      </x:c>
      <x:c r="E11" s="40" t="n">
        <x:v>74.6</x:v>
      </x:c>
      <x:c r="F11" s="40" t="n">
        <x:v>91.4</x:v>
      </x:c>
      <x:c r="G11" s="40" t="n">
        <x:v>255.4</x:v>
      </x:c>
      <x:c r="H11" s="40" t="n">
        <x:v>120.1</x:v>
      </x:c>
      <x:c r="I11" s="1"/>
      <x:c r="J11" s="25" t="s">
        <x:v>70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41" t="s">
        <x:v>74</x:v>
      </x:c>
      <x:c r="D12" s="42" t="n">
        <x:f aca="0">D10-D11</x:f>
        <x:v>123.69999999999999</x:v>
      </x:c>
      <x:c r="E12" s="42" t="n">
        <x:f aca="0">E10-E11</x:f>
        <x:v>172.8</x:v>
      </x:c>
      <x:c r="F12" s="42" t="n">
        <x:f aca="0">F10-F11</x:f>
        <x:v>192.49999999999997</x:v>
      </x:c>
      <x:c r="G12" s="42" t="n">
        <x:f aca="0">G10-G11</x:f>
        <x:v>-90.5</x:v>
      </x:c>
      <x:c r="H12" s="42" t="n">
        <x:f aca="0">H10-H11</x:f>
        <x:v>169.79999999999998</x:v>
      </x:c>
      <x:c r="I12" s="1"/>
      <x:c r="J12" s="25" t="s">
        <x:v>70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75</x:v>
      </x:c>
      <x:c r="D13" s="40" t="n">
        <x:v>143.6</x:v>
      </x:c>
      <x:c r="E13" s="40" t="n">
        <x:v>196.3</x:v>
      </x:c>
      <x:c r="F13" s="40" t="n">
        <x:v>242.4</x:v>
      </x:c>
      <x:c r="G13" s="40" t="n">
        <x:v>215.4</x:v>
      </x:c>
      <x:c r="H13" s="40" t="n">
        <x:v>247.2</x:v>
      </x:c>
      <x:c r="I13" s="1"/>
      <x:c r="J13" s="25" t="s">
        <x:v>70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76</x:v>
      </x:c>
      <x:c r="D14" s="40" t="n">
        <x:v>-2.2</x:v>
      </x:c>
      <x:c r="E14" s="40" t="n">
        <x:v>-19.2</x:v>
      </x:c>
      <x:c r="F14" s="40" t="n">
        <x:v>9.8</x:v>
      </x:c>
      <x:c r="G14" s="40" t="n">
        <x:v>15.8</x:v>
      </x:c>
      <x:c r="H14" s="40" t="n">
        <x:v>14.7</x:v>
      </x:c>
      <x:c r="I14" s="1"/>
      <x:c r="J14" s="25" t="s">
        <x:v>70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1" t="s">
        <x:v>77</x:v>
      </x:c>
      <x:c r="D15" s="42" t="n">
        <x:f aca="0">D12-D14</x:f>
        <x:v>125.89999999999999</x:v>
      </x:c>
      <x:c r="E15" s="42" t="n">
        <x:f aca="0">E12-E14</x:f>
        <x:v>192</x:v>
      </x:c>
      <x:c r="F15" s="42" t="n">
        <x:f aca="0">F12-F14</x:f>
        <x:v>182.69999999999996</x:v>
      </x:c>
      <x:c r="G15" s="42" t="n">
        <x:f aca="0">G12-G14</x:f>
        <x:v>-106.3</x:v>
      </x:c>
      <x:c r="H15" s="42" t="n">
        <x:f aca="0">H12-H14</x:f>
        <x:v>155.1</x:v>
      </x:c>
      <x:c r="I15" s="1"/>
      <x:c r="J15" s="25" t="s">
        <x:v>70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78</x:v>
      </x:c>
      <x:c r="D16" s="40" t="n">
        <x:v>35.9</x:v>
      </x:c>
      <x:c r="E16" s="40" t="n">
        <x:v>37.6</x:v>
      </x:c>
      <x:c r="F16" s="40" t="n">
        <x:v>43.1</x:v>
      </x:c>
      <x:c r="G16" s="40" t="n">
        <x:v>79.4</x:v>
      </x:c>
      <x:c r="H16" s="40" t="n">
        <x:v>47.6</x:v>
      </x:c>
      <x:c r="I16" s="1"/>
      <x:c r="J16" s="25" t="s">
        <x:v>70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41" t="s">
        <x:v>79</x:v>
      </x:c>
      <x:c r="D17" s="42" t="n">
        <x:f aca="0">D15-D16</x:f>
        <x:v>90</x:v>
      </x:c>
      <x:c r="E17" s="42" t="n">
        <x:f aca="0">E15-E16</x:f>
        <x:v>154.4</x:v>
      </x:c>
      <x:c r="F17" s="42" t="n">
        <x:f aca="0">F15-F16</x:f>
        <x:v>139.59999999999997</x:v>
      </x:c>
      <x:c r="G17" s="42" t="n">
        <x:f aca="0">G15-G16</x:f>
        <x:v>-185.7</x:v>
      </x:c>
      <x:c r="H17" s="42" t="n">
        <x:f aca="0">H15-H16</x:f>
        <x:v>107.5</x:v>
      </x:c>
      <x:c r="I17" s="1"/>
      <x:c r="J17" s="25" t="s">
        <x:v>70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 t="s">
        <x:v>80</x:v>
      </x:c>
      <x:c r="D18" s="40" t="n">
        <x:v>15.7</x:v>
      </x:c>
      <x:c r="E18" s="40" t="n">
        <x:v>26.8</x:v>
      </x:c>
      <x:c r="F18" s="40" t="n">
        <x:v>24.2</x:v>
      </x:c>
      <x:c r="G18" s="40" t="n">
        <x:v>-33</x:v>
      </x:c>
      <x:c r="H18" s="40" t="n">
        <x:v>20.1</x:v>
      </x:c>
      <x:c r="I18" s="1"/>
      <x:c r="J18" s="25" t="s">
        <x:v>70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3" t="s">
        <x:v>39</x:v>
      </x:c>
      <x:c r="D19" s="40" t="n">
        <x:v>20.6</x:v>
      </x:c>
      <x:c r="E19" s="40" t="n">
        <x:v>26.5</x:v>
      </x:c>
      <x:c r="F19" s="40" t="n">
        <x:v>29.4</x:v>
      </x:c>
      <x:c r="G19" s="40" t="n">
        <x:v>26.1</x:v>
      </x:c>
      <x:c r="H19" s="40" t="n">
        <x:v>31.5</x:v>
      </x:c>
      <x:c r="I19" s="1"/>
      <x:c r="J19" s="25" t="s">
        <x:v>70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3"/>
      <x:c r="D20" s="40"/>
      <x:c r="E20" s="40"/>
      <x:c r="F20" s="40"/>
      <x:c r="G20" s="40"/>
      <x:c r="H20" s="40"/>
      <x:c r="I20" s="1"/>
      <x:c r="J20" s="25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81</x:v>
      </x:c>
      <x:c r="D21" s="43"/>
      <x:c r="E21" s="43"/>
      <x:c r="F21" s="43"/>
      <x:c r="G21" s="43"/>
      <x:c r="H21" s="43"/>
      <x:c r="I21" s="1"/>
      <x:c r="J21" s="25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 t="s">
        <x:v>82</x:v>
      </x:c>
      <x:c r="D22" s="40" t="n">
        <x:v>248.1</x:v>
      </x:c>
      <x:c r="E22" s="40" t="n">
        <x:v>151.2</x:v>
      </x:c>
      <x:c r="F22" s="40" t="n">
        <x:v>231</x:v>
      </x:c>
      <x:c r="G22" s="40" t="n">
        <x:v>290.6</x:v>
      </x:c>
      <x:c r="H22" s="40" t="n">
        <x:v>259.2</x:v>
      </x:c>
      <x:c r="I22" s="1"/>
      <x:c r="J22" s="25" t="s">
        <x:v>83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 t="s">
        <x:v>84</x:v>
      </x:c>
      <x:c r="D23" s="40" t="n">
        <x:v>373.2</x:v>
      </x:c>
      <x:c r="E23" s="40" t="n">
        <x:v>452.6</x:v>
      </x:c>
      <x:c r="F23" s="40" t="n">
        <x:v>456.8</x:v>
      </x:c>
      <x:c r="G23" s="40" t="n">
        <x:v>388.4</x:v>
      </x:c>
      <x:c r="H23" s="40" t="n">
        <x:v>394.9</x:v>
      </x:c>
      <x:c r="I23" s="1"/>
      <x:c r="J23" s="25" t="s">
        <x:v>85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86</x:v>
      </x:c>
      <x:c r="D24" s="40" t="n">
        <x:v>145.8</x:v>
      </x:c>
      <x:c r="E24" s="40" t="n">
        <x:v>158</x:v>
      </x:c>
      <x:c r="F24" s="40" t="n">
        <x:v>171.6</x:v>
      </x:c>
      <x:c r="G24" s="40" t="n">
        <x:v>154.5</x:v>
      </x:c>
      <x:c r="H24" s="40" t="n">
        <x:v>178.2</x:v>
      </x:c>
      <x:c r="I24" s="1"/>
      <x:c r="J24" s="25" t="s">
        <x:v>85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 t="s">
        <x:v>87</x:v>
      </x:c>
      <x:c r="D25" s="40" t="n">
        <x:v>54.9</x:v>
      </x:c>
      <x:c r="E25" s="40" t="n">
        <x:v>68.8</x:v>
      </x:c>
      <x:c r="F25" s="40" t="n">
        <x:v>89.2</x:v>
      </x:c>
      <x:c r="G25" s="40" t="n">
        <x:v>70.7</x:v>
      </x:c>
      <x:c r="H25" s="40" t="n">
        <x:v>73.7</x:v>
      </x:c>
      <x:c r="I25" s="1"/>
      <x:c r="J25" s="25" t="s">
        <x:v>83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 t="s">
        <x:v>88</x:v>
      </x:c>
      <x:c r="D26" s="40" t="n">
        <x:v>414.5</x:v>
      </x:c>
      <x:c r="E26" s="40" t="n">
        <x:v>477.8</x:v>
      </x:c>
      <x:c r="F26" s="40" t="n">
        <x:v>531.8</x:v>
      </x:c>
      <x:c r="G26" s="40" t="n">
        <x:v>473.3</x:v>
      </x:c>
      <x:c r="H26" s="40" t="n">
        <x:v>444.6</x:v>
      </x:c>
      <x:c r="I26" s="1"/>
      <x:c r="J26" s="25" t="s">
        <x:v>83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 t="s">
        <x:v>89</x:v>
      </x:c>
      <x:c r="D27" s="40" t="n">
        <x:v>289.7</x:v>
      </x:c>
      <x:c r="E27" s="40" t="n">
        <x:v>752</x:v>
      </x:c>
      <x:c r="F27" s="40" t="n">
        <x:v>723.2</x:v>
      </x:c>
      <x:c r="G27" s="40" t="n">
        <x:v>543.7</x:v>
      </x:c>
      <x:c r="H27" s="40" t="n">
        <x:v>486.3</x:v>
      </x:c>
      <x:c r="I27" s="1"/>
      <x:c r="J27" s="25" t="s">
        <x:v>83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41" t="s">
        <x:v>90</x:v>
      </x:c>
      <x:c r="D28" s="42" t="n">
        <x:v>1768.7</x:v>
      </x:c>
      <x:c r="E28" s="42" t="n">
        <x:v>2072.1</x:v>
      </x:c>
      <x:c r="F28" s="42" t="n">
        <x:v>2106.2</x:v>
      </x:c>
      <x:c r="G28" s="42" t="n">
        <x:v>1828.4</x:v>
      </x:c>
      <x:c r="H28" s="42" t="n">
        <x:v>1738.4</x:v>
      </x:c>
      <x:c r="I28" s="1"/>
      <x:c r="J28" s="25" t="s">
        <x:v>83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 t="s">
        <x:v>91</x:v>
      </x:c>
      <x:c r="D29" s="40" t="n">
        <x:v>474.7</x:v>
      </x:c>
      <x:c r="E29" s="40" t="n">
        <x:v>575.2</x:v>
      </x:c>
      <x:c r="F29" s="40" t="n">
        <x:v>654.7</x:v>
      </x:c>
      <x:c r="G29" s="40" t="n">
        <x:v>597.5</x:v>
      </x:c>
      <x:c r="H29" s="40" t="n">
        <x:v>585.6</x:v>
      </x:c>
      <x:c r="I29" s="1"/>
      <x:c r="J29" s="25" t="s">
        <x:v>83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 t="s">
        <x:v>92</x:v>
      </x:c>
      <x:c r="D30" s="40" t="n">
        <x:v>182.5</x:v>
      </x:c>
      <x:c r="E30" s="40" t="n">
        <x:v>216.9</x:v>
      </x:c>
      <x:c r="F30" s="40" t="n">
        <x:v>212.6</x:v>
      </x:c>
      <x:c r="G30" s="40" t="n">
        <x:v>207</x:v>
      </x:c>
      <x:c r="H30" s="40" t="n">
        <x:v>158.3</x:v>
      </x:c>
      <x:c r="I30" s="1"/>
      <x:c r="J30" s="25" t="s">
        <x:v>93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 t="s">
        <x:v>94</x:v>
      </x:c>
      <x:c r="D31" s="40" t="n">
        <x:v>27.1</x:v>
      </x:c>
      <x:c r="E31" s="40" t="n">
        <x:v>26.8</x:v>
      </x:c>
      <x:c r="F31" s="40" t="n">
        <x:v>19.5</x:v>
      </x:c>
      <x:c r="G31" s="40" t="n">
        <x:v>59.7</x:v>
      </x:c>
      <x:c r="H31" s="40" t="n">
        <x:v>50.7</x:v>
      </x:c>
      <x:c r="I31" s="1"/>
      <x:c r="J31" s="25" t="s">
        <x:v>83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 t="s">
        <x:v>95</x:v>
      </x:c>
      <x:c r="D32" s="40" t="n">
        <x:v>24.1</x:v>
      </x:c>
      <x:c r="E32" s="40" t="n">
        <x:v>370</x:v>
      </x:c>
      <x:c r="F32" s="40" t="n">
        <x:v>393.3</x:v>
      </x:c>
      <x:c r="G32" s="40" t="n">
        <x:v>431.7</x:v>
      </x:c>
      <x:c r="H32" s="40" t="n">
        <x:v>423.9</x:v>
      </x:c>
      <x:c r="I32" s="1"/>
      <x:c r="J32" s="25" t="s">
        <x:v>83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41" t="s">
        <x:v>96</x:v>
      </x:c>
      <x:c r="D33" s="42" t="n">
        <x:v>727.3</x:v>
      </x:c>
      <x:c r="E33" s="42" t="n">
        <x:v>1103.8</x:v>
      </x:c>
      <x:c r="F33" s="42" t="n">
        <x:v>1180.1</x:v>
      </x:c>
      <x:c r="G33" s="42" t="n">
        <x:v>1201.9</x:v>
      </x:c>
      <x:c r="H33" s="42" t="n">
        <x:v>1185.4</x:v>
      </x:c>
      <x:c r="I33" s="1"/>
      <x:c r="J33" s="25" t="s">
        <x:v>83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41" t="s">
        <x:v>97</x:v>
      </x:c>
      <x:c r="D34" s="42" t="n">
        <x:v>1041.4</x:v>
      </x:c>
      <x:c r="E34" s="42" t="n">
        <x:v>968.3</x:v>
      </x:c>
      <x:c r="F34" s="42" t="n">
        <x:v>926.1</x:v>
      </x:c>
      <x:c r="G34" s="42" t="n">
        <x:v>626.5</x:v>
      </x:c>
      <x:c r="H34" s="42" t="n">
        <x:v>553</x:v>
      </x:c>
      <x:c r="I34" s="1"/>
      <x:c r="J34" s="25" t="s">
        <x:v>83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44" t="s">
        <x:v>98</x:v>
      </x:c>
      <x:c r="D35" s="45" t="n">
        <x:f aca="0">ROUND(D28-D33-D34,2)</x:f>
        <x:v>0</x:v>
      </x:c>
      <x:c r="E35" s="45" t="n">
        <x:f aca="0">ROUND(E28-E33-E34,2)</x:f>
        <x:v>0</x:v>
      </x:c>
      <x:c r="F35" s="45" t="n">
        <x:f aca="0">ROUND(F28-F33-F34,2)</x:f>
        <x:v>0</x:v>
      </x:c>
      <x:c r="G35" s="45" t="n">
        <x:f aca="0">ROUND(G28-G33-G34,2)</x:f>
        <x:v>0</x:v>
      </x:c>
      <x:c r="H35" s="45" t="n">
        <x:f aca="0">ROUND(H28-H33-H34,2)</x:f>
        <x:v>0</x:v>
      </x:c>
      <x:c r="I35" s="1"/>
      <x:c r="J35" s="25" t="s">
        <x:v>99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40"/>
      <x:c r="E36" s="40"/>
      <x:c r="F36" s="40"/>
      <x:c r="G36" s="40"/>
      <x:c r="H36" s="40"/>
      <x:c r="I36" s="1"/>
      <x:c r="J36" s="25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30" t="s">
        <x:v>100</x:v>
      </x:c>
      <x:c r="D37" s="43"/>
      <x:c r="E37" s="43"/>
      <x:c r="F37" s="43"/>
      <x:c r="G37" s="43"/>
      <x:c r="H37" s="43"/>
      <x:c r="I37" s="1"/>
      <x:c r="J37" s="25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 t="s">
        <x:v>79</x:v>
      </x:c>
      <x:c r="D38" s="46" t="n">
        <x:f aca="0">D17</x:f>
        <x:v>90</x:v>
      </x:c>
      <x:c r="E38" s="46" t="n">
        <x:f aca="0">E17</x:f>
        <x:v>154.4</x:v>
      </x:c>
      <x:c r="F38" s="46" t="n">
        <x:f aca="0">F17</x:f>
        <x:v>139.59999999999997</x:v>
      </x:c>
      <x:c r="G38" s="46" t="n">
        <x:f aca="0">G17</x:f>
        <x:v>-185.7</x:v>
      </x:c>
      <x:c r="H38" s="46" t="n">
        <x:f aca="0">H17</x:f>
        <x:v>107.5</x:v>
      </x:c>
      <x:c r="I38" s="1"/>
      <x:c r="J38" s="25" t="s">
        <x:v>101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 t="s">
        <x:v>102</x:v>
      </x:c>
      <x:c r="D39" s="46" t="n">
        <x:f aca="0">D11</x:f>
        <x:v>64</x:v>
      </x:c>
      <x:c r="E39" s="46" t="n">
        <x:f aca="0">E11</x:f>
        <x:v>74.6</x:v>
      </x:c>
      <x:c r="F39" s="46" t="n">
        <x:f aca="0">F11</x:f>
        <x:v>91.4</x:v>
      </x:c>
      <x:c r="G39" s="46" t="n">
        <x:f aca="0">G11</x:f>
        <x:v>255.4</x:v>
      </x:c>
      <x:c r="H39" s="46" t="n">
        <x:f aca="0">H11</x:f>
        <x:v>120.1</x:v>
      </x:c>
      <x:c r="I39" s="1"/>
      <x:c r="J39" s="25" t="s">
        <x:v>101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 t="s">
        <x:v>103</x:v>
      </x:c>
      <x:c r="D40" s="40" t="n">
        <x:v>22</x:v>
      </x:c>
      <x:c r="E40" s="40" t="n">
        <x:v>-7.7</x:v>
      </x:c>
      <x:c r="F40" s="40" t="n">
        <x:v>9.8</x:v>
      </x:c>
      <x:c r="G40" s="40" t="n">
        <x:v>49.8</x:v>
      </x:c>
      <x:c r="H40" s="40" t="n">
        <x:v>-15.5</x:v>
      </x:c>
      <x:c r="I40" s="1"/>
      <x:c r="J40" s="25" t="s">
        <x:v>101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 t="s">
        <x:v>104</x:v>
      </x:c>
      <x:c r="D41" s="40" t="n">
        <x:v>12.7</x:v>
      </x:c>
      <x:c r="E41" s="40" t="n">
        <x:v>-15.3</x:v>
      </x:c>
      <x:c r="F41" s="40" t="n">
        <x:v>2.3</x:v>
      </x:c>
      <x:c r="G41" s="40" t="n">
        <x:v>101.8</x:v>
      </x:c>
      <x:c r="H41" s="40" t="n">
        <x:v>19.7</x:v>
      </x:c>
      <x:c r="I41" s="1"/>
      <x:c r="J41" s="25" t="s">
        <x:v>101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41" t="s">
        <x:v>105</x:v>
      </x:c>
      <x:c r="D42" s="42" t="n">
        <x:f aca="0">SUM(D38:D41)</x:f>
        <x:v>188.7</x:v>
      </x:c>
      <x:c r="E42" s="42" t="n">
        <x:f aca="0">SUM(E38:E41)</x:f>
        <x:v>206</x:v>
      </x:c>
      <x:c r="F42" s="42" t="n">
        <x:f aca="0">SUM(F38:F41)</x:f>
        <x:v>243.1</x:v>
      </x:c>
      <x:c r="G42" s="42" t="n">
        <x:f aca="0">SUM(G38:G41)</x:f>
        <x:v>221.3</x:v>
      </x:c>
      <x:c r="H42" s="42" t="n">
        <x:f aca="0">SUM(H38:H41)</x:f>
        <x:v>231.79999999999998</x:v>
      </x:c>
      <x:c r="I42" s="1"/>
      <x:c r="J42" s="25" t="s">
        <x:v>101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 t="s">
        <x:v>106</x:v>
      </x:c>
      <x:c r="D43" s="40" t="n">
        <x:v>-84.3</x:v>
      </x:c>
      <x:c r="E43" s="40" t="n">
        <x:v>-109</x:v>
      </x:c>
      <x:c r="F43" s="40" t="n">
        <x:v>-96.3</x:v>
      </x:c>
      <x:c r="G43" s="40" t="n">
        <x:v>-108.8</x:v>
      </x:c>
      <x:c r="H43" s="40" t="n">
        <x:v>-72.5</x:v>
      </x:c>
      <x:c r="I43" s="1"/>
      <x:c r="J43" s="25" t="s">
        <x:v>107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 t="s">
        <x:v>108</x:v>
      </x:c>
      <x:c r="D44" s="40" t="n">
        <x:v>2.7</x:v>
      </x:c>
      <x:c r="E44" s="40" t="n">
        <x:v>-355.4</x:v>
      </x:c>
      <x:c r="F44" s="40" t="n">
        <x:v>-2.8</x:v>
      </x:c>
      <x:c r="G44" s="40" t="n">
        <x:v>109.2</x:v>
      </x:c>
      <x:c r="H44" s="40" t="n">
        <x:v>17.9</x:v>
      </x:c>
      <x:c r="I44" s="1"/>
      <x:c r="J44" s="25" t="s">
        <x:v>107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41" t="s">
        <x:v>109</x:v>
      </x:c>
      <x:c r="D45" s="42" t="n">
        <x:f aca="0">SUM(D43:D44)</x:f>
        <x:v>-81.6</x:v>
      </x:c>
      <x:c r="E45" s="42" t="n">
        <x:f aca="0">SUM(E43:E44)</x:f>
        <x:v>-464.4</x:v>
      </x:c>
      <x:c r="F45" s="42" t="n">
        <x:f aca="0">SUM(F43:F44)</x:f>
        <x:v>-99.1</x:v>
      </x:c>
      <x:c r="G45" s="42" t="n">
        <x:f aca="0">SUM(G43:G44)</x:f>
        <x:v>0.4000000000000057</x:v>
      </x:c>
      <x:c r="H45" s="42" t="n">
        <x:f aca="0">SUM(H43:H44)</x:f>
        <x:v>-54.6</x:v>
      </x:c>
      <x:c r="I45" s="1"/>
      <x:c r="J45" s="25" t="s">
        <x:v>107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 t="s">
        <x:v>110</x:v>
      </x:c>
      <x:c r="D46" s="40" t="n">
        <x:v>-9.4</x:v>
      </x:c>
      <x:c r="E46" s="40" t="n">
        <x:v>203.1</x:v>
      </x:c>
      <x:c r="F46" s="40" t="n">
        <x:v>-0.5</x:v>
      </x:c>
      <x:c r="G46" s="40" t="n">
        <x:v>-1.6</x:v>
      </x:c>
      <x:c r="H46" s="40" t="n">
        <x:v>-12.6</x:v>
      </x:c>
      <x:c r="I46" s="1"/>
      <x:c r="J46" s="25" t="s">
        <x:v>107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 t="s">
        <x:v>111</x:v>
      </x:c>
      <x:c r="D47" s="40" t="n">
        <x:v>-40.2</x:v>
      </x:c>
      <x:c r="E47" s="40" t="n">
        <x:v>-42.6</x:v>
      </x:c>
      <x:c r="F47" s="40" t="n">
        <x:v>-45.6</x:v>
      </x:c>
      <x:c r="G47" s="40" t="n">
        <x:v>-47.9</x:v>
      </x:c>
      <x:c r="H47" s="40" t="n">
        <x:v>-48.7</x:v>
      </x:c>
      <x:c r="I47" s="1"/>
      <x:c r="J47" s="25" t="s">
        <x:v>107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 t="s">
        <x:v>112</x:v>
      </x:c>
      <x:c r="D48" s="40" t="n">
        <x:v>-0.8</x:v>
      </x:c>
      <x:c r="E48" s="40" t="n">
        <x:v>-0.8</x:v>
      </x:c>
      <x:c r="F48" s="40" t="n">
        <x:v>-17.1</x:v>
      </x:c>
      <x:c r="G48" s="40" t="n">
        <x:v>-108.9</x:v>
      </x:c>
      <x:c r="H48" s="40" t="n">
        <x:v>-146.9</x:v>
      </x:c>
      <x:c r="I48" s="1"/>
      <x:c r="J48" s="25" t="s">
        <x:v>107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41" t="s">
        <x:v>113</x:v>
      </x:c>
      <x:c r="D49" s="42" t="n">
        <x:f aca="0">SUM(D46:D48)</x:f>
        <x:v>-50.4</x:v>
      </x:c>
      <x:c r="E49" s="42" t="n">
        <x:f aca="0">SUM(E46:E48)</x:f>
        <x:v>159.7</x:v>
      </x:c>
      <x:c r="F49" s="42" t="n">
        <x:f aca="0">SUM(F46:F48)</x:f>
        <x:v>-63.2</x:v>
      </x:c>
      <x:c r="G49" s="42" t="n">
        <x:f aca="0">SUM(G46:G48)</x:f>
        <x:v>-158.4</x:v>
      </x:c>
      <x:c r="H49" s="42" t="n">
        <x:f aca="0">SUM(H46:H48)</x:f>
        <x:v>-208.20000000000002</x:v>
      </x:c>
      <x:c r="I49" s="1"/>
      <x:c r="J49" s="25" t="s">
        <x:v>107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 t="s">
        <x:v>114</x:v>
      </x:c>
      <x:c r="D50" s="40" t="n">
        <x:v>1.3</x:v>
      </x:c>
      <x:c r="E50" s="40" t="n">
        <x:v>1.8</x:v>
      </x:c>
      <x:c r="F50" s="40" t="n">
        <x:v>-1</x:v>
      </x:c>
      <x:c r="G50" s="40" t="n">
        <x:v>-3.7</x:v>
      </x:c>
      <x:c r="H50" s="40" t="n">
        <x:v>-0.4</x:v>
      </x:c>
      <x:c r="I50" s="1"/>
      <x:c r="J50" s="25" t="s">
        <x:v>107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41" t="s">
        <x:v>115</x:v>
      </x:c>
      <x:c r="D51" s="42" t="n">
        <x:f aca="0">SUM(D42,D45,D49,D50)</x:f>
        <x:v>57.99999999999999</x:v>
      </x:c>
      <x:c r="E51" s="42" t="n">
        <x:f aca="0">SUM(E42,E45,E49,E50)</x:f>
        <x:v>-96.89999999999999</x:v>
      </x:c>
      <x:c r="F51" s="42" t="n">
        <x:f aca="0">SUM(F42,F45,F49,F50)</x:f>
        <x:v>79.8</x:v>
      </x:c>
      <x:c r="G51" s="42" t="n">
        <x:f aca="0">SUM(G42,G45,G49,G50)</x:f>
        <x:v>59.60000000000001</x:v>
      </x:c>
      <x:c r="H51" s="42" t="n">
        <x:f aca="0">SUM(H42,H45,H49,H50)</x:f>
        <x:v>-31.400000000000027</x:v>
      </x:c>
      <x:c r="I51" s="1"/>
      <x:c r="J51" s="25" t="s">
        <x:v>107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44" t="s">
        <x:v>116</x:v>
      </x:c>
      <x:c r="D52" s="45"/>
      <x:c r="E52" s="45" t="n">
        <x:f aca="0">ROUND(E22-D22-E51,2)</x:f>
        <x:v>0</x:v>
      </x:c>
      <x:c r="F52" s="45" t="n">
        <x:f aca="0">ROUND(F22-E22-F51,2)</x:f>
        <x:v>0</x:v>
      </x:c>
      <x:c r="G52" s="45" t="n">
        <x:f aca="0">ROUND(G22-F22-G51,2)</x:f>
        <x:v>0</x:v>
      </x:c>
      <x:c r="H52" s="45" t="n">
        <x:f aca="0">ROUND(H22-G22-H51,2)</x:f>
        <x:v>0</x:v>
      </x:c>
      <x:c r="I52" s="1"/>
      <x:c r="J52" s="25" t="s">
        <x:v>117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10" hidden="0" customWidth="1"/>
    <x:col min="4" max="4" width="34" hidden="0" customWidth="1"/>
    <x:col min="5" max="5" width="16" hidden="0" customWidth="1"/>
    <x:col min="6" max="6" width="50" hidden="0" customWidth="1"/>
    <x:col min="7" max="7" width="28" hidden="0" customWidth="1"/>
    <x:col min="8" max="8" width="75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18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118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119</x:v>
      </x:c>
      <x:c r="D6" s="21" t="s">
        <x:v>120</x:v>
      </x:c>
      <x:c r="E6" s="21" t="s">
        <x:v>121</x:v>
      </x:c>
      <x:c r="F6" s="21" t="s">
        <x:v>122</x:v>
      </x:c>
      <x:c r="G6" s="21" t="s">
        <x:v>123</x:v>
      </x:c>
      <x:c r="H6" s="10" t="s">
        <x:v>124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hidden="0" customHeight="1">
      <x:c r="A7" s="1"/>
      <x:c r="B7" s="1"/>
      <x:c r="C7" s="47" t="s">
        <x:v>125</x:v>
      </x:c>
      <x:c r="D7" s="48" t="s">
        <x:v>126</x:v>
      </x:c>
      <x:c r="E7" s="49" t="n">
        <x:v>46163</x:v>
      </x:c>
      <x:c r="F7" s="48" t="s">
        <x:v>127</x:v>
      </x:c>
      <x:c r="G7" s="50" t="s">
        <x:v>128</x:v>
      </x:c>
      <x:c r="H7" s="50" t="s">
        <x:v>129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hidden="0" customHeight="1">
      <x:c r="A8" s="1"/>
      <x:c r="B8" s="1"/>
      <x:c r="C8" s="47" t="s">
        <x:v>130</x:v>
      </x:c>
      <x:c r="D8" s="48" t="s">
        <x:v>131</x:v>
      </x:c>
      <x:c r="E8" s="49" t="n">
        <x:v>46219</x:v>
      </x:c>
      <x:c r="F8" s="48" t="s">
        <x:v>132</x:v>
      </x:c>
      <x:c r="G8" s="50" t="s">
        <x:v>133</x:v>
      </x:c>
      <x:c r="H8" s="50" t="s">
        <x:v>134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hidden="0" customHeight="1">
      <x:c r="A9" s="1"/>
      <x:c r="B9" s="1"/>
      <x:c r="C9" s="47" t="s">
        <x:v>135</x:v>
      </x:c>
      <x:c r="D9" s="48" t="s">
        <x:v>136</x:v>
      </x:c>
      <x:c r="E9" s="49"/>
      <x:c r="F9" s="48" t="s">
        <x:v>137</x:v>
      </x:c>
      <x:c r="G9" s="50" t="s">
        <x:v>136</x:v>
      </x:c>
      <x:c r="H9" s="50" t="s">
        <x:v>138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hidden="0" customHeight="1">
      <x:c r="A10" s="1"/>
      <x:c r="B10" s="1"/>
      <x:c r="C10" s="47" t="s">
        <x:v>139</x:v>
      </x:c>
      <x:c r="D10" s="48" t="s">
        <x:v>140</x:v>
      </x:c>
      <x:c r="E10" s="49" t="n">
        <x:v>46163</x:v>
      </x:c>
      <x:c r="F10" s="48" t="s">
        <x:v>141</x:v>
      </x:c>
      <x:c r="G10" s="50" t="s">
        <x:v>142</x:v>
      </x:c>
      <x:c r="H10" s="50" t="s">
        <x:v>143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hidden="0" customHeight="1">
      <x:c r="A11" s="1"/>
      <x:c r="B11" s="1"/>
      <x:c r="C11" s="47" t="s">
        <x:v>144</x:v>
      </x:c>
      <x:c r="D11" s="48" t="s">
        <x:v>145</x:v>
      </x:c>
      <x:c r="E11" s="49" t="n">
        <x:v>39609</x:v>
      </x:c>
      <x:c r="F11" s="48" t="s">
        <x:v>146</x:v>
      </x:c>
      <x:c r="G11" s="50" t="s">
        <x:v>147</x:v>
      </x:c>
      <x:c r="H11" s="50" t="s">
        <x:v>148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hidden="0" customHeight="1">
      <x:c r="A12" s="1"/>
      <x:c r="B12" s="1"/>
      <x:c r="C12" s="47" t="s">
        <x:v>149</x:v>
      </x:c>
      <x:c r="D12" s="48" t="s">
        <x:v>150</x:v>
      </x:c>
      <x:c r="E12" s="49" t="n">
        <x:v>46163</x:v>
      </x:c>
      <x:c r="F12" s="48" t="s">
        <x:v>151</x:v>
      </x:c>
      <x:c r="G12" s="50" t="s">
        <x:v>152</x:v>
      </x:c>
      <x:c r="H12" s="50" t="s">
        <x:v>153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51" t="s">
        <x:v>154</x:v>
      </x:c>
      <x:c r="D13" s="52" t="s">
        <x:v>155</x:v>
      </x:c>
      <x:c r="E13" s="53" t="n">
        <x:v>45799</x:v>
      </x:c>
      <x:c r="F13" s="52" t="s">
        <x:v>156</x:v>
      </x:c>
      <x:c r="G13" s="52" t="s">
        <x:v>157</x:v>
      </x:c>
      <x:c r="H13" s="52" t="s">
        <x:v>158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3.850000381469727" hidden="0">
      <x:c r="A14" s="1"/>
      <x:c r="B14" s="1"/>
      <x:c r="C14" s="51" t="s">
        <x:v>159</x:v>
      </x:c>
      <x:c r="D14" s="52" t="s">
        <x:v>160</x:v>
      </x:c>
      <x:c r="E14" s="53" t="n">
        <x:v>45071</x:v>
      </x:c>
      <x:c r="F14" s="52" t="s">
        <x:v>161</x:v>
      </x:c>
      <x:c r="G14" s="52" t="s">
        <x:v>162</x:v>
      </x:c>
      <x:c r="H14" s="52" t="s">
        <x:v>163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54" t="s">
        <x:v>164</x:v>
      </x:c>
      <x:c r="D15" s="54" t="s">
        <x:v>165</x:v>
      </x:c>
      <x:c r="E15" s="55" t="n">
        <x:v>45435</x:v>
      </x:c>
      <x:c r="F15" s="54" t="s">
        <x:v>166</x:v>
      </x:c>
      <x:c r="G15" s="54" t="s">
        <x:v>167</x:v>
      </x:c>
      <x:c r="H15" s="54" t="s">
        <x:v>168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56" t="s">
        <x:v>169</x:v>
      </x:c>
      <x:c r="D16" s="56" t="s">
        <x:v>170</x:v>
      </x:c>
      <x:c r="E16" s="57" t="n">
        <x:v>44700</x:v>
      </x:c>
      <x:c r="F16" s="56" t="s">
        <x:v>171</x:v>
      </x:c>
      <x:c r="G16" s="56" t="s">
        <x:v>172</x:v>
      </x:c>
      <x:c r="H16" s="56" t="s">
        <x:v>173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110" t="str">
        <x:v>S011</x:v>
      </x:c>
      <x:c r="D17" s="110" t="str">
        <x:v>UK 10-year Gilt</x:v>
      </x:c>
      <x:c r="E17" s="111" t="n">
        <x:v>46281</x:v>
      </x:c>
      <x:c r="F17" s="110" t="str">
        <x:v>Risk-free rate for CAPM</x:v>
      </x:c>
      <x:c r="G17" s="110" t="str">
        <x:v>Market data summary</x:v>
      </x:c>
      <x:c r="H17" s="110" t="str">
        <x:v>https://markets.ft.com/data/bonds/tearsheet/summary?s=UK10YG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10" t="str">
        <x:v>S012</x:v>
      </x:c>
      <x:c r="D18" s="110" t="str">
        <x:v>QinetiQ Group plc company page</x:v>
      </x:c>
      <x:c r="E18" s="111" t="n">
        <x:v>46281</x:v>
      </x:c>
      <x:c r="F18" s="110" t="str">
        <x:v>Market capitalisation for WACC weights</x:v>
      </x:c>
      <x:c r="G18" s="110" t="str">
        <x:v>Company overview</x:v>
      </x:c>
      <x:c r="H18" s="110" t="str">
        <x:v>https://www.londonstockexchange.com/stock/QQ./qinetiq-group-plc/company-page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110" t="str">
        <x:v>S013</x:v>
      </x:c>
      <x:c r="D19" s="110" t="str">
        <x:v>Betas by Sector (US)</x:v>
      </x:c>
      <x:c r="E19" s="111" t="n">
        <x:v>46023</x:v>
      </x:c>
      <x:c r="F19" s="110" t="str">
        <x:v>Aerospace/Defence unlevered beta</x:v>
      </x:c>
      <x:c r="G19" s="110" t="str">
        <x:v>Aerospace/Defense row</x:v>
      </x:c>
      <x:c r="H19" s="110" t="str">
        <x:v>https://pages.stern.nyu.edu/~adamodar/New_Home_Page/datafile/Betas.html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0" t="str">
        <x:v>S014</x:v>
      </x:c>
      <x:c r="D20" s="110" t="str">
        <x:v>Damodaran Online</x:v>
      </x:c>
      <x:c r="E20" s="111" t="n">
        <x:v>46266</x:v>
      </x:c>
      <x:c r="F20" s="110" t="str">
        <x:v>Implied mature-market equity risk premium</x:v>
      </x:c>
      <x:c r="G20" s="110" t="str">
        <x:v>Current implied premium</x:v>
      </x:c>
      <x:c r="H20" s="110" t="str">
        <x:v>https://pages.stern.nyu.edu/~adamodar/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12" t="str">
        <x:v>S015</x:v>
      </x:c>
      <x:c r="D21" s="112" t="str">
        <x:v>Inflation and the 2% target</x:v>
      </x:c>
      <x:c r="E21" s="113" t="n">
        <x:v>46281</x:v>
      </x:c>
      <x:c r="F21" s="112" t="str">
        <x:v>Terminal growth anchor</x:v>
      </x:c>
      <x:c r="G21" s="112" t="str">
        <x:v>Government inflation target</x:v>
      </x:c>
      <x:c r="H21" s="112" t="str">
        <x:v>https://www.bankofengland.co.uk/monetary-policy/inflation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" t="str">
        <x:v>S016</x:v>
      </x:c>
      <x:c r="D22" s="1" t="str">
        <x:v>2026-09-16</x:v>
      </x:c>
      <x:c r="E22" s="1" t="str">
        <x:v>2025-03-17</x:v>
      </x:c>
      <x:c r="F22" s="1" t="str">
        <x:v>QinetiQ Group plc</x:v>
      </x:c>
      <x:c r="G22" s="1" t="str">
        <x:v>FY25 Fourth Quarter Trading Update</x:v>
      </x:c>
      <x:c r="H22" s="1" t="str">
        <x:v>https://www.qinetiq.com/en/news/qinetiq-group-plc-fy25-fourth-quarter-trading-update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" t="str">
        <x:v>S017</x:v>
      </x:c>
      <x:c r="D23" s="1" t="str">
        <x:v>2026-09-16</x:v>
      </x:c>
      <x:c r="E23" s="1" t="str">
        <x:v>2026-05-21</x:v>
      </x:c>
      <x:c r="F23" s="1" t="str">
        <x:v>QinetiQ Group plc</x:v>
      </x:c>
      <x:c r="G23" s="1" t="str">
        <x:v>FY26 Group Performance</x:v>
      </x:c>
      <x:c r="H23" s="1" t="str">
        <x:v>https://www.qinetiq.com/en/news/fy26-group-performance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 t="str">
        <x:v>S018</x:v>
      </x:c>
      <x:c r="D24" s="1" t="str">
        <x:v>2026-09-16</x:v>
      </x:c>
      <x:c r="E24" s="1" t="str">
        <x:v>2026-07-16</x:v>
      </x:c>
      <x:c r="F24" s="1" t="str">
        <x:v>QinetiQ Group plc</x:v>
      </x:c>
      <x:c r="G24" s="1" t="str">
        <x:v>FY27 Q1 Trading Update</x:v>
      </x:c>
      <x:c r="H24" s="1" t="str">
        <x:v>https://www.qinetiq.com/en/news/q1-trading-update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 t="str">
        <x:v>S019</x:v>
      </x:c>
      <x:c r="D25" s="1" t="str">
        <x:v>2026-09-16</x:v>
      </x:c>
      <x:c r="E25" s="1" t="str">
        <x:v>2022-08-05</x:v>
      </x:c>
      <x:c r="F25" s="1" t="str">
        <x:v>QinetiQ Group plc</x:v>
      </x:c>
      <x:c r="G25" s="1" t="str">
        <x:v>Proposed Acquisition of Avantus Federal LLC</x:v>
      </x:c>
      <x:c r="H25" s="1" t="str">
        <x:v>https://www.qinetiq.com/en/news/proposed-acquisition-of-avantus-federal-llc</x:v>
      </x:c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4" topLeftCell="B5" activePane="bottomRight" state="frozen"/>
    </x:sheetView>
  </x:sheetViews>
  <x:sheetFormatPr defaultColWidth="8.6796875" defaultRowHeight="15"/>
  <x:cols>
    <x:col min="1" max="1" width="51" hidden="0" customWidth="1"/>
    <x:col min="2" max="7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hidden="0" customHeight="1">
      <x:c r="A1" s="58" t="s">
        <x:v>174</x:v>
      </x:c>
      <x:c r="B1" s="58"/>
      <x:c r="C1" s="58"/>
      <x:c r="D1" s="58"/>
      <x:c r="E1" s="58"/>
      <x:c r="F1" s="58"/>
      <x:c r="G1" s="58"/>
    </x:row>
    <x:row r="2" ht="15" hidden="0">
      <x:c r="A2" s="59" t="s">
        <x:v>175</x:v>
      </x:c>
      <x:c r="B2" s="59"/>
      <x:c r="C2" s="59"/>
      <x:c r="D2" s="59"/>
      <x:c r="E2" s="59"/>
      <x:c r="F2" s="59"/>
      <x:c r="G2" s="59"/>
    </x:row>
    <x:row r="4" ht="15" hidden="0">
      <x:c r="A4" s="60" t="s">
        <x:v>176</x:v>
      </x:c>
      <x:c r="B4" s="60"/>
      <x:c r="C4" s="60"/>
      <x:c r="D4" s="60"/>
      <x:c r="E4" s="60"/>
      <x:c r="F4" s="60"/>
    </x:row>
    <x:row r="5" ht="15" hidden="0">
      <x:c r="A5" s="61" t="s">
        <x:v>177</x:v>
      </x:c>
      <x:c r="B5" s="62" t="s">
        <x:v>178</x:v>
      </x:c>
      <x:c r="C5" s="62" t="s">
        <x:v>179</x:v>
      </x:c>
      <x:c r="D5" s="62" t="s">
        <x:v>180</x:v>
      </x:c>
      <x:c r="E5" s="62" t="s">
        <x:v>181</x:v>
      </x:c>
      <x:c r="F5" s="62" t="s">
        <x:v>182</x:v>
      </x:c>
    </x:row>
    <x:row r="6" ht="15" hidden="0">
      <x:c r="A6" s="63" t="s">
        <x:v>183</x:v>
      </x:c>
      <x:c r="B6" s="64" t="n">
        <x:v>0.05</x:v>
      </x:c>
      <x:c r="C6" s="64" t="n">
        <x:v>0.05</x:v>
      </x:c>
      <x:c r="D6" s="64" t="n">
        <x:v>0.045</x:v>
      </x:c>
      <x:c r="E6" s="64" t="n">
        <x:v>0.04</x:v>
      </x:c>
      <x:c r="F6" s="64" t="n">
        <x:v>0.035</x:v>
      </x:c>
    </x:row>
    <x:row r="7" ht="15" hidden="0">
      <x:c r="A7" s="63" t="s">
        <x:v>184</x:v>
      </x:c>
      <x:c r="B7" s="64" t="n">
        <x:v>0</x:v>
      </x:c>
      <x:c r="C7" s="64" t="n">
        <x:v>0.02</x:v>
      </x:c>
      <x:c r="D7" s="64" t="n">
        <x:v>0.03</x:v>
      </x:c>
      <x:c r="E7" s="64" t="n">
        <x:v>0.03</x:v>
      </x:c>
      <x:c r="F7" s="64" t="n">
        <x:v>0.03</x:v>
      </x:c>
    </x:row>
    <x:row r="8" ht="15" hidden="0">
      <x:c r="A8" s="63" t="s">
        <x:v>185</x:v>
      </x:c>
      <x:c r="B8" s="64" t="n">
        <x:v>0.119</x:v>
      </x:c>
      <x:c r="C8" s="64" t="n">
        <x:v>0.12</x:v>
      </x:c>
      <x:c r="D8" s="64" t="n">
        <x:v>0.121</x:v>
      </x:c>
      <x:c r="E8" s="64" t="n">
        <x:v>0.121</x:v>
      </x:c>
      <x:c r="F8" s="64" t="n">
        <x:v>0.12</x:v>
      </x:c>
    </x:row>
    <x:row r="9" ht="15" hidden="0">
      <x:c r="A9" s="63" t="s">
        <x:v>186</x:v>
      </x:c>
      <x:c r="B9" s="64" t="n">
        <x:v>0.085</x:v>
      </x:c>
      <x:c r="C9" s="64" t="n">
        <x:v>0.09</x:v>
      </x:c>
      <x:c r="D9" s="64" t="n">
        <x:v>0.095</x:v>
      </x:c>
      <x:c r="E9" s="64" t="n">
        <x:v>0.098</x:v>
      </x:c>
      <x:c r="F9" s="64" t="n">
        <x:v>0.1</x:v>
      </x:c>
    </x:row>
    <x:row r="11" ht="15" hidden="0" customHeight="1">
      <x:c r="A11" s="65" t="s">
        <x:v>187</x:v>
      </x:c>
      <x:c r="B11" s="65"/>
      <x:c r="C11" s="65"/>
      <x:c r="D11" s="65"/>
      <x:c r="E11" s="65"/>
      <x:c r="F11" s="65"/>
      <x:c r="G11" s="65"/>
    </x:row>
    <x:row r="13" ht="15" hidden="0">
      <x:c r="A13" s="60" t="s">
        <x:v>188</x:v>
      </x:c>
      <x:c r="B13" s="60"/>
      <x:c r="C13" s="60"/>
      <x:c r="D13" s="60"/>
      <x:c r="E13" s="60"/>
      <x:c r="F13" s="60"/>
      <x:c r="G13" s="60"/>
    </x:row>
    <x:row r="14" ht="15" hidden="0">
      <x:c r="A14" s="61" t="s">
        <x:v>189</x:v>
      </x:c>
      <x:c r="B14" s="62" t="s">
        <x:v>190</x:v>
      </x:c>
      <x:c r="C14" s="62" t="s">
        <x:v>178</x:v>
      </x:c>
      <x:c r="D14" s="62" t="s">
        <x:v>179</x:v>
      </x:c>
      <x:c r="E14" s="62" t="s">
        <x:v>180</x:v>
      </x:c>
      <x:c r="F14" s="62" t="s">
        <x:v>181</x:v>
      </x:c>
      <x:c r="G14" s="62" t="s">
        <x:v>182</x:v>
      </x:c>
    </x:row>
    <x:row r="15" ht="15" hidden="0">
      <x:c r="A15" s="63" t="s">
        <x:v>191</x:v>
      </x:c>
      <x:c r="B15" s="66" t="n">
        <x:v>1529.2</x:v>
      </x:c>
      <x:c r="C15" s="67" t="n">
        <x:f aca="0">B15*(1+B$6)</x:f>
        <x:v>1605.66</x:v>
      </x:c>
      <x:c r="D15" s="67" t="n">
        <x:f aca="0">C15*(1+C$6)</x:f>
        <x:v>1685.9430000000002</x:v>
      </x:c>
      <x:c r="E15" s="67" t="n">
        <x:f aca="0">D15*(1+D$6)</x:f>
        <x:v>1761.810435</x:v>
      </x:c>
      <x:c r="F15" s="67" t="n">
        <x:f aca="0">E15*(1+E$6)</x:f>
        <x:v>1832.2828524000001</x:v>
      </x:c>
      <x:c r="G15" s="67" t="n">
        <x:f aca="0">F15*(1+F$6)</x:f>
        <x:v>1896.412752234</x:v>
      </x:c>
    </x:row>
    <x:row r="16" ht="15" hidden="0">
      <x:c r="A16" s="63" t="s">
        <x:v>192</x:v>
      </x:c>
      <x:c r="B16" s="66" t="n">
        <x:v>393.4</x:v>
      </x:c>
      <x:c r="C16" s="67" t="n">
        <x:f aca="0">B16*(1+B$7)</x:f>
        <x:v>393.4</x:v>
      </x:c>
      <x:c r="D16" s="67" t="n">
        <x:f aca="0">C16*(1+C$7)</x:f>
        <x:v>401.268</x:v>
      </x:c>
      <x:c r="E16" s="67" t="n">
        <x:f aca="0">D16*(1+D$7)</x:f>
        <x:v>413.30604</x:v>
      </x:c>
      <x:c r="F16" s="67" t="n">
        <x:f aca="0">E16*(1+E$7)</x:f>
        <x:v>425.7052212</x:v>
      </x:c>
      <x:c r="G16" s="67" t="n">
        <x:f aca="0">F16*(1+F$7)</x:f>
        <x:v>438.476377836</x:v>
      </x:c>
    </x:row>
    <x:row r="17" ht="15" hidden="0">
      <x:c r="A17" s="68" t="s">
        <x:v>193</x:v>
      </x:c>
      <x:c r="B17" s="69" t="n">
        <x:f aca="0">SUM(B15:B16)</x:f>
        <x:v>1922.6</x:v>
      </x:c>
      <x:c r="C17" s="69" t="n">
        <x:f aca="0">SUM(C15:C16)</x:f>
        <x:v>1999.06</x:v>
      </x:c>
      <x:c r="D17" s="69" t="n">
        <x:f aca="0">SUM(D15:D16)</x:f>
        <x:v>2087.2110000000002</x:v>
      </x:c>
      <x:c r="E17" s="69" t="n">
        <x:f aca="0">SUM(E15:E16)</x:f>
        <x:v>2175.1164750000003</x:v>
      </x:c>
      <x:c r="F17" s="69" t="n">
        <x:f aca="0">SUM(F15:F16)</x:f>
        <x:v>2257.9880736</x:v>
      </x:c>
      <x:c r="G17" s="69" t="n">
        <x:f aca="0">SUM(G15:G16)</x:f>
        <x:v>2334.8891300699997</x:v>
      </x:c>
    </x:row>
    <x:row r="18" ht="15" hidden="0">
      <x:c r="A18" s="63" t="s">
        <x:v>194</x:v>
      </x:c>
      <x:c r="B18" s="70"/>
      <x:c r="C18" s="70" t="n">
        <x:f aca="0">C17/B17-1</x:f>
        <x:v>0.039769062727556426</x:v>
      </x:c>
      <x:c r="D18" s="70" t="n">
        <x:f aca="0">D17/C17-1</x:f>
        <x:v>0.04409622522585632</x:v>
      </x:c>
      <x:c r="E18" s="70" t="n">
        <x:f aca="0">E17/D17-1</x:f>
        <x:v>0.042116237888742525</x:v>
      </x:c>
      <x:c r="F18" s="70" t="n">
        <x:f aca="0">F17/E17-1</x:f>
        <x:v>0.03809984410145195</x:v>
      </x:c>
      <x:c r="G18" s="70" t="n">
        <x:f aca="0">G17/F17-1</x:f>
        <x:v>0.034057335098051755</x:v>
      </x:c>
    </x:row>
    <x:row r="19" ht="15" hidden="0">
      <x:c r="A19" s="63"/>
      <x:c r="B19" s="63"/>
      <x:c r="C19" s="63"/>
      <x:c r="D19" s="63"/>
      <x:c r="E19" s="63"/>
      <x:c r="F19" s="63"/>
      <x:c r="G19" s="63"/>
    </x:row>
    <x:row r="20" ht="15" hidden="0">
      <x:c r="A20" s="63" t="s">
        <x:v>195</x:v>
      </x:c>
      <x:c r="B20" s="67"/>
      <x:c r="C20" s="67" t="n">
        <x:f aca="0">C15*B$8</x:f>
        <x:v>191.07354</x:v>
      </x:c>
      <x:c r="D20" s="67" t="n">
        <x:f aca="0">D15*C$8</x:f>
        <x:v>202.31316</x:v>
      </x:c>
      <x:c r="E20" s="67" t="n">
        <x:f aca="0">E15*D$8</x:f>
        <x:v>213.179062635</x:v>
      </x:c>
      <x:c r="F20" s="67" t="n">
        <x:f aca="0">F15*E$8</x:f>
        <x:v>221.70622514040002</x:v>
      </x:c>
      <x:c r="G20" s="67" t="n">
        <x:f aca="0">G15*F$8</x:f>
        <x:v>227.56953026808</x:v>
      </x:c>
    </x:row>
    <x:row r="21" ht="15" hidden="0">
      <x:c r="A21" s="63" t="s">
        <x:v>196</x:v>
      </x:c>
      <x:c r="B21" s="67"/>
      <x:c r="C21" s="67" t="n">
        <x:f aca="0">C16*B$9</x:f>
        <x:v>33.439</x:v>
      </x:c>
      <x:c r="D21" s="67" t="n">
        <x:f aca="0">D16*C$9</x:f>
        <x:v>36.11411999999999</x:v>
      </x:c>
      <x:c r="E21" s="67" t="n">
        <x:f aca="0">E16*D$9</x:f>
        <x:v>39.2640738</x:v>
      </x:c>
      <x:c r="F21" s="67" t="n">
        <x:f aca="0">F16*E$9</x:f>
        <x:v>41.7191116776</x:v>
      </x:c>
      <x:c r="G21" s="67" t="n">
        <x:f aca="0">G16*F$9</x:f>
        <x:v>43.8476377836</x:v>
      </x:c>
    </x:row>
    <x:row r="22" ht="15" hidden="0">
      <x:c r="A22" s="68" t="s">
        <x:v>197</x:v>
      </x:c>
      <x:c r="B22" s="69"/>
      <x:c r="C22" s="69" t="n">
        <x:f aca="0">SUM(C20:C21)</x:f>
        <x:v>224.51254</x:v>
      </x:c>
      <x:c r="D22" s="69" t="n">
        <x:f aca="0">SUM(D20:D21)</x:f>
        <x:v>238.42728</x:v>
      </x:c>
      <x:c r="E22" s="69" t="n">
        <x:f aca="0">SUM(E20:E21)</x:f>
        <x:v>252.443136435</x:v>
      </x:c>
      <x:c r="F22" s="69" t="n">
        <x:f aca="0">SUM(F20:F21)</x:f>
        <x:v>263.425336818</x:v>
      </x:c>
      <x:c r="G22" s="69" t="n">
        <x:f aca="0">SUM(G20:G21)</x:f>
        <x:v>271.41716805168</x:v>
      </x:c>
    </x:row>
    <x:row r="23" ht="15" hidden="0">
      <x:c r="A23" s="68" t="s">
        <x:v>198</x:v>
      </x:c>
      <x:c r="B23" s="71"/>
      <x:c r="C23" s="71" t="n">
        <x:f aca="0">C22/C17</x:f>
        <x:v>0.1123090552559703</x:v>
      </x:c>
      <x:c r="D23" s="71" t="n">
        <x:f aca="0">D22/D17</x:f>
        <x:v>0.11423247577748487</x:v>
      </x:c>
      <x:c r="E23" s="71" t="n">
        <x:f aca="0">E22/E17</x:f>
        <x:v>0.11605959466377541</x:v>
      </x:c>
      <x:c r="F23" s="71" t="n">
        <x:f aca="0">F22/F17</x:f>
        <x:v>0.116663741451039</x:v>
      </x:c>
      <x:c r="G23" s="71" t="n">
        <x:f aca="0">G22/G17</x:f>
        <x:v>0.11624413534510863</x:v>
      </x:c>
    </x:row>
    <x:row r="25" ht="15" hidden="0">
      <x:c r="A25" s="60" t="s">
        <x:v>199</x:v>
      </x:c>
      <x:c r="B25" s="60"/>
      <x:c r="C25" s="60"/>
      <x:c r="D25" s="60"/>
      <x:c r="E25" s="60"/>
      <x:c r="F25" s="60"/>
      <x:c r="G25" s="60"/>
    </x:row>
    <x:row r="26" ht="15" hidden="0">
      <x:c r="A26" t="s">
        <x:v>200</x:v>
      </x:c>
      <x:c r="C26" s="72" t="n">
        <x:f aca="0">C17-SUM(C15:C16)</x:f>
        <x:v>0</x:v>
      </x:c>
      <x:c r="D26" s="72" t="n">
        <x:f aca="0">D17-SUM(D15:D16)</x:f>
        <x:v>0</x:v>
      </x:c>
      <x:c r="E26" s="72" t="n">
        <x:f aca="0">E17-SUM(E15:E16)</x:f>
        <x:v>0</x:v>
      </x:c>
      <x:c r="F26" s="72" t="n">
        <x:f aca="0">F17-SUM(F15:F16)</x:f>
        <x:v>0</x:v>
      </x:c>
      <x:c r="G26" s="72" t="n">
        <x:f aca="0">G17-SUM(G15:G16)</x:f>
        <x:v>0</x:v>
      </x:c>
    </x:row>
    <x:row r="27" ht="15" hidden="0">
      <x:c r="A27" t="s">
        <x:v>201</x:v>
      </x:c>
      <x:c r="C27" s="72" t="n">
        <x:f aca="0">C22-SUM(C20:C21)</x:f>
        <x:v>0</x:v>
      </x:c>
      <x:c r="D27" s="72" t="n">
        <x:f aca="0">D22-SUM(D20:D21)</x:f>
        <x:v>0</x:v>
      </x:c>
      <x:c r="E27" s="72" t="n">
        <x:f aca="0">E22-SUM(E20:E21)</x:f>
        <x:v>0</x:v>
      </x:c>
      <x:c r="F27" s="72" t="n">
        <x:f aca="0">F22-SUM(F20:F21)</x:f>
        <x:v>0</x:v>
      </x:c>
      <x:c r="G27" s="72" t="n">
        <x:f aca="0">G22-SUM(G20:G21)</x:f>
        <x:v>0</x:v>
      </x:c>
    </x:row>
    <x:row r="30" ht="22" hidden="0" customHeight="1">
      <x:c r="A30" s="73" t="s">
        <x:v>202</x:v>
      </x:c>
      <x:c r="B30" s="73"/>
      <x:c r="C30" s="73"/>
      <x:c r="D30" s="73"/>
      <x:c r="E30" s="73"/>
      <x:c r="F30" s="73"/>
    </x:row>
    <x:row r="31" ht="20" hidden="0" customHeight="1">
      <x:c r="A31" s="74" t="s">
        <x:v>189</x:v>
      </x:c>
      <x:c r="B31" s="75" t="s">
        <x:v>203</x:v>
      </x:c>
      <x:c r="C31" s="75" t="s">
        <x:v>204</x:v>
      </x:c>
      <x:c r="D31" s="75" t="s">
        <x:v>205</x:v>
      </x:c>
      <x:c r="E31" s="75" t="s">
        <x:v>206</x:v>
      </x:c>
      <x:c r="F31" s="76" t="s">
        <x:v>190</x:v>
      </x:c>
    </x:row>
    <x:row r="32" ht="15" hidden="0">
      <x:c r="A32" s="77" t="s">
        <x:v>33</x:v>
      </x:c>
      <x:c r="B32" s="78" t="n">
        <x:f aca="0">Statements!D8</x:f>
        <x:v>1320.4</x:v>
      </x:c>
      <x:c r="C32" s="78" t="n">
        <x:f aca="0">Statements!E8</x:f>
        <x:v>1580.7</x:v>
      </x:c>
      <x:c r="D32" s="78" t="n">
        <x:f aca="0">Statements!F8</x:f>
        <x:v>1912.1</x:v>
      </x:c>
      <x:c r="E32" s="78" t="n">
        <x:f aca="0">Statements!G8</x:f>
        <x:v>1931.6</x:v>
      </x:c>
      <x:c r="F32" s="79" t="n">
        <x:f aca="0">Statements!H8</x:f>
        <x:v>1922.6</x:v>
      </x:c>
    </x:row>
    <x:row r="33" ht="23.850000381469727" hidden="0">
      <x:c r="A33" s="77" t="s">
        <x:v>207</x:v>
      </x:c>
      <x:c r="B33" s="80" t="n">
        <x:v>52.1</x:v>
      </x:c>
      <x:c r="C33" s="80" t="n">
        <x:v>59</x:v>
      </x:c>
      <x:c r="D33" s="80" t="n">
        <x:v>65.5</x:v>
      </x:c>
      <x:c r="E33" s="80" t="n">
        <x:v>86.3</x:v>
      </x:c>
      <x:c r="F33" s="81" t="n">
        <x:v>96.5</x:v>
      </x:c>
    </x:row>
    <x:row r="34" ht="15" hidden="0">
      <x:c r="A34" s="77" t="s">
        <x:v>208</x:v>
      </x:c>
      <x:c r="B34" s="82" t="n">
        <x:f aca="0">B33/B32</x:f>
        <x:v>0.03945774007876401</x:v>
      </x:c>
      <x:c r="C34" s="82" t="n">
        <x:f aca="0">C33/C32</x:f>
        <x:v>0.037325235655089516</x:v>
      </x:c>
      <x:c r="D34" s="82" t="n">
        <x:f aca="0">D33/D32</x:f>
        <x:v>0.03425553056848491</x:v>
      </x:c>
      <x:c r="E34" s="82" t="n">
        <x:f aca="0">E33/E32</x:f>
        <x:v>0.04467798716090288</x:v>
      </x:c>
      <x:c r="F34" s="83" t="n">
        <x:f aca="0">F33/F32</x:f>
        <x:v>0.05019244772703631</x:v>
      </x:c>
    </x:row>
    <x:row r="35" ht="15" hidden="0">
      <x:c r="A35" s="77" t="s">
        <x:v>209</x:v>
      </x:c>
      <x:c r="B35" s="84" t="n">
        <x:f aca="0">-Statements!D43</x:f>
        <x:v>84.3</x:v>
      </x:c>
      <x:c r="C35" s="84" t="n">
        <x:f aca="0">-Statements!E43</x:f>
        <x:v>109</x:v>
      </x:c>
      <x:c r="D35" s="84" t="n">
        <x:f aca="0">-Statements!F43</x:f>
        <x:v>96.3</x:v>
      </x:c>
      <x:c r="E35" s="84" t="n">
        <x:f aca="0">-Statements!G43</x:f>
        <x:v>108.8</x:v>
      </x:c>
      <x:c r="F35" s="85" t="n">
        <x:f aca="0">-Statements!H43</x:f>
        <x:v>72.5</x:v>
      </x:c>
    </x:row>
    <x:row r="36" ht="15" hidden="0">
      <x:c r="A36" s="77" t="s">
        <x:v>210</x:v>
      </x:c>
      <x:c r="B36" s="82" t="n">
        <x:f aca="0">B35/B32</x:f>
        <x:v>0.06384428960920932</x:v>
      </x:c>
      <x:c r="C36" s="82" t="n">
        <x:f aca="0">C35/C32</x:f>
        <x:v>0.06895679129499589</x:v>
      </x:c>
      <x:c r="D36" s="82" t="n">
        <x:f aca="0">D35/D32</x:f>
        <x:v>0.050363474713665604</x:v>
      </x:c>
      <x:c r="E36" s="82" t="n">
        <x:f aca="0">E35/E32</x:f>
        <x:v>0.05632636156554152</x:v>
      </x:c>
      <x:c r="F36" s="83" t="n">
        <x:f aca="0">F35/F32</x:f>
        <x:v>0.037709351919275984</x:v>
      </x:c>
    </x:row>
    <x:row r="37" ht="15" hidden="0">
      <x:c r="A37" s="77" t="s">
        <x:v>211</x:v>
      </x:c>
      <x:c r="B37" s="84" t="n">
        <x:f aca="0">Statements!D40</x:f>
        <x:v>22</x:v>
      </x:c>
      <x:c r="C37" s="84" t="n">
        <x:f aca="0">Statements!E40</x:f>
        <x:v>-7.7</x:v>
      </x:c>
      <x:c r="D37" s="84" t="n">
        <x:f aca="0">Statements!F40</x:f>
        <x:v>9.8</x:v>
      </x:c>
      <x:c r="E37" s="84" t="n">
        <x:f aca="0">Statements!G40</x:f>
        <x:v>49.8</x:v>
      </x:c>
      <x:c r="F37" s="85" t="n">
        <x:f aca="0">Statements!H40</x:f>
        <x:v>-15.5</x:v>
      </x:c>
    </x:row>
    <x:row r="38" ht="15" hidden="0">
      <x:c r="A38" s="77" t="s">
        <x:v>212</x:v>
      </x:c>
      <x:c r="B38" s="80" t="n">
        <x:v>20</x:v>
      </x:c>
      <x:c r="C38" s="80" t="n">
        <x:v>30.2</x:v>
      </x:c>
      <x:c r="D38" s="80" t="n">
        <x:v>36.9</x:v>
      </x:c>
      <x:c r="E38" s="80" t="n">
        <x:v>48.6</x:v>
      </x:c>
      <x:c r="F38" s="81" t="n">
        <x:v>44.4</x:v>
      </x:c>
    </x:row>
    <x:row r="39" ht="15" hidden="0">
      <x:c r="A39" s="86" t="s">
        <x:v>213</x:v>
      </x:c>
      <x:c r="B39" s="87" t="n">
        <x:v>0.169</x:v>
      </x:c>
      <x:c r="C39" s="87" t="n">
        <x:v>0.194</x:v>
      </x:c>
      <x:c r="D39" s="87" t="n">
        <x:v>0.253</x:v>
      </x:c>
      <x:c r="E39" s="87" t="n">
        <x:v>0.26</x:v>
      </x:c>
      <x:c r="F39" s="88" t="n">
        <x:v>0.266</x:v>
      </x:c>
    </x:row>
    <x:row r="40" ht="15" hidden="0">
      <x:c r="A40" s="89"/>
      <x:c r="B40" s="90"/>
      <x:c r="C40" s="90"/>
      <x:c r="D40" s="90"/>
      <x:c r="E40" s="90"/>
      <x:c r="F40" s="90"/>
    </x:row>
    <x:row r="41" ht="30" hidden="0" customHeight="1">
      <x:c r="A41" s="91" t="s">
        <x:v>214</x:v>
      </x:c>
      <x:c r="B41" s="91"/>
      <x:c r="C41" s="91"/>
      <x:c r="D41" s="91"/>
      <x:c r="E41" s="91"/>
      <x:c r="F41" s="91"/>
    </x:row>
    <x:row r="42" ht="15" hidden="0">
      <x:c r="A42" s="89"/>
      <x:c r="B42" s="90"/>
      <x:c r="C42" s="90"/>
      <x:c r="D42" s="90"/>
      <x:c r="E42" s="90"/>
      <x:c r="F42" s="90"/>
    </x:row>
    <x:row r="43" ht="22" hidden="0" customHeight="1">
      <x:c r="A43" s="73" t="s">
        <x:v>215</x:v>
      </x:c>
      <x:c r="B43" s="73"/>
      <x:c r="C43" s="73"/>
      <x:c r="D43" s="73"/>
      <x:c r="E43" s="73"/>
      <x:c r="F43" s="73"/>
    </x:row>
    <x:row r="44" ht="20" hidden="0" customHeight="1">
      <x:c r="A44" s="74" t="s">
        <x:v>177</x:v>
      </x:c>
      <x:c r="B44" s="92" t="s">
        <x:v>178</x:v>
      </x:c>
      <x:c r="C44" s="92" t="s">
        <x:v>179</x:v>
      </x:c>
      <x:c r="D44" s="92" t="s">
        <x:v>180</x:v>
      </x:c>
      <x:c r="E44" s="92" t="s">
        <x:v>181</x:v>
      </x:c>
      <x:c r="F44" s="93" t="s">
        <x:v>182</x:v>
      </x:c>
    </x:row>
    <x:row r="45" ht="15" hidden="0">
      <x:c r="A45" s="77" t="s">
        <x:v>216</x:v>
      </x:c>
      <x:c r="B45" s="94" t="n">
        <x:v>0.265</x:v>
      </x:c>
      <x:c r="C45" s="94" t="n">
        <x:v>0.265</x:v>
      </x:c>
      <x:c r="D45" s="94" t="n">
        <x:v>0.265</x:v>
      </x:c>
      <x:c r="E45" s="94" t="n">
        <x:v>0.265</x:v>
      </x:c>
      <x:c r="F45" s="95" t="n">
        <x:v>0.265</x:v>
      </x:c>
    </x:row>
    <x:row r="46" ht="15" hidden="0">
      <x:c r="A46" s="77" t="s">
        <x:v>217</x:v>
      </x:c>
      <x:c r="B46" s="94" t="n">
        <x:v>0.05</x:v>
      </x:c>
      <x:c r="C46" s="94" t="n">
        <x:v>0.05</x:v>
      </x:c>
      <x:c r="D46" s="94" t="n">
        <x:v>0.05</x:v>
      </x:c>
      <x:c r="E46" s="94" t="n">
        <x:v>0.05</x:v>
      </x:c>
      <x:c r="F46" s="95" t="n">
        <x:v>0.05</x:v>
      </x:c>
    </x:row>
    <x:row r="47" ht="15" hidden="0">
      <x:c r="A47" s="77" t="s">
        <x:v>210</x:v>
      </x:c>
      <x:c r="B47" s="94" t="n">
        <x:v>0.045</x:v>
      </x:c>
      <x:c r="C47" s="94" t="n">
        <x:v>0.045</x:v>
      </x:c>
      <x:c r="D47" s="94" t="n">
        <x:v>0.045</x:v>
      </x:c>
      <x:c r="E47" s="94" t="n">
        <x:v>0.045</x:v>
      </x:c>
      <x:c r="F47" s="95" t="n">
        <x:v>0.045</x:v>
      </x:c>
    </x:row>
    <x:row r="48" ht="15" hidden="0">
      <x:c r="A48" s="86" t="s">
        <x:v>218</x:v>
      </x:c>
      <x:c r="B48" s="87" t="n">
        <x:v>0.01</x:v>
      </x:c>
      <x:c r="C48" s="87" t="n">
        <x:v>0.01</x:v>
      </x:c>
      <x:c r="D48" s="87" t="n">
        <x:v>0.01</x:v>
      </x:c>
      <x:c r="E48" s="87" t="n">
        <x:v>0.01</x:v>
      </x:c>
      <x:c r="F48" s="88" t="n">
        <x:v>0.01</x:v>
      </x:c>
    </x:row>
    <x:row r="49" ht="15" hidden="0">
      <x:c r="A49" s="89"/>
      <x:c r="B49" s="90"/>
      <x:c r="C49" s="90"/>
      <x:c r="D49" s="90"/>
      <x:c r="E49" s="90"/>
      <x:c r="F49" s="90"/>
    </x:row>
    <x:row r="50" ht="30" hidden="0" customHeight="1">
      <x:c r="A50" s="96" t="s">
        <x:v>219</x:v>
      </x:c>
      <x:c r="B50" s="96"/>
      <x:c r="C50" s="96"/>
      <x:c r="D50" s="96"/>
      <x:c r="E50" s="96"/>
      <x:c r="F50" s="96"/>
    </x:row>
    <x:row r="51" ht="15" hidden="0">
      <x:c r="A51" s="89"/>
      <x:c r="B51" s="90"/>
      <x:c r="C51" s="90"/>
      <x:c r="D51" s="90"/>
      <x:c r="E51" s="90"/>
      <x:c r="F51" s="90"/>
    </x:row>
    <x:row r="52" ht="22" hidden="0" customHeight="1">
      <x:c r="A52" s="73" t="s">
        <x:v>220</x:v>
      </x:c>
      <x:c r="B52" s="73"/>
      <x:c r="C52" s="73"/>
      <x:c r="D52" s="73"/>
      <x:c r="E52" s="73"/>
      <x:c r="F52" s="73"/>
    </x:row>
    <x:row r="53" ht="20" hidden="0" customHeight="1">
      <x:c r="A53" s="74" t="s">
        <x:v>189</x:v>
      </x:c>
      <x:c r="B53" s="92" t="s">
        <x:v>178</x:v>
      </x:c>
      <x:c r="C53" s="92" t="s">
        <x:v>179</x:v>
      </x:c>
      <x:c r="D53" s="92" t="s">
        <x:v>180</x:v>
      </x:c>
      <x:c r="E53" s="92" t="s">
        <x:v>181</x:v>
      </x:c>
      <x:c r="F53" s="93" t="s">
        <x:v>182</x:v>
      </x:c>
    </x:row>
    <x:row r="54" ht="15" hidden="0">
      <x:c r="A54" s="77" t="s">
        <x:v>33</x:v>
      </x:c>
      <x:c r="B54" s="84" t="n">
        <x:f aca="0">C17</x:f>
        <x:v>1999.06</x:v>
      </x:c>
      <x:c r="C54" s="84" t="n">
        <x:f aca="0">D17</x:f>
        <x:v>2087.2110000000002</x:v>
      </x:c>
      <x:c r="D54" s="84" t="n">
        <x:f aca="0">E17</x:f>
        <x:v>2175.1164750000003</x:v>
      </x:c>
      <x:c r="E54" s="84" t="n">
        <x:f aca="0">F17</x:f>
        <x:v>2257.9880736</x:v>
      </x:c>
      <x:c r="F54" s="85" t="n">
        <x:f aca="0">G17</x:f>
        <x:v>2334.8891300699997</x:v>
      </x:c>
    </x:row>
    <x:row r="55" ht="15" hidden="0">
      <x:c r="A55" s="77" t="s">
        <x:v>221</x:v>
      </x:c>
      <x:c r="B55" s="84" t="n">
        <x:f aca="0">C22</x:f>
        <x:v>224.51254</x:v>
      </x:c>
      <x:c r="C55" s="84" t="n">
        <x:f aca="0">D22</x:f>
        <x:v>238.42728</x:v>
      </x:c>
      <x:c r="D55" s="84" t="n">
        <x:f aca="0">E22</x:f>
        <x:v>252.443136435</x:v>
      </x:c>
      <x:c r="E55" s="84" t="n">
        <x:f aca="0">F22</x:f>
        <x:v>263.425336818</x:v>
      </x:c>
      <x:c r="F55" s="85" t="n">
        <x:f aca="0">G22</x:f>
        <x:v>271.41716805168</x:v>
      </x:c>
    </x:row>
    <x:row r="56" ht="15" hidden="0">
      <x:c r="A56" s="77" t="s">
        <x:v>216</x:v>
      </x:c>
      <x:c r="B56" s="82" t="n">
        <x:f aca="0">B45</x:f>
        <x:v>0.265</x:v>
      </x:c>
      <x:c r="C56" s="82" t="n">
        <x:f aca="0">C45</x:f>
        <x:v>0.265</x:v>
      </x:c>
      <x:c r="D56" s="82" t="n">
        <x:f aca="0">D45</x:f>
        <x:v>0.265</x:v>
      </x:c>
      <x:c r="E56" s="82" t="n">
        <x:f aca="0">E45</x:f>
        <x:v>0.265</x:v>
      </x:c>
      <x:c r="F56" s="83" t="n">
        <x:f aca="0">F45</x:f>
        <x:v>0.265</x:v>
      </x:c>
    </x:row>
    <x:row r="57" ht="15" hidden="0">
      <x:c r="A57" s="77" t="s">
        <x:v>222</x:v>
      </x:c>
      <x:c r="B57" s="84" t="n">
        <x:f aca="0">B55*(1-B56)</x:f>
        <x:v>165.0167169</x:v>
      </x:c>
      <x:c r="C57" s="84" t="n">
        <x:f aca="0">C55*(1-C56)</x:f>
        <x:v>175.2440508</x:v>
      </x:c>
      <x:c r="D57" s="84" t="n">
        <x:f aca="0">D55*(1-D56)</x:f>
        <x:v>185.545705279725</x:v>
      </x:c>
      <x:c r="E57" s="84" t="n">
        <x:f aca="0">E55*(1-E56)</x:f>
        <x:v>193.61762256123</x:v>
      </x:c>
      <x:c r="F57" s="85" t="n">
        <x:f aca="0">F55*(1-F56)</x:f>
        <x:v>199.4916185179848</x:v>
      </x:c>
    </x:row>
    <x:row r="58" ht="15" hidden="0">
      <x:c r="A58" s="77" t="s">
        <x:v>223</x:v>
      </x:c>
      <x:c r="B58" s="84" t="n">
        <x:f aca="0">B54*B46</x:f>
        <x:v>99.953</x:v>
      </x:c>
      <x:c r="C58" s="84" t="n">
        <x:f aca="0">C54*C46</x:f>
        <x:v>104.36055000000002</x:v>
      </x:c>
      <x:c r="D58" s="84" t="n">
        <x:f aca="0">D54*D46</x:f>
        <x:v>108.75582375000002</x:v>
      </x:c>
      <x:c r="E58" s="84" t="n">
        <x:f aca="0">E54*E46</x:f>
        <x:v>112.89940368</x:v>
      </x:c>
      <x:c r="F58" s="85" t="n">
        <x:f aca="0">F54*F46</x:f>
        <x:v>116.74445650349999</x:v>
      </x:c>
    </x:row>
    <x:row r="59" ht="15" hidden="0">
      <x:c r="A59" s="77" t="s">
        <x:v>106</x:v>
      </x:c>
      <x:c r="B59" s="84" t="n">
        <x:f aca="0">-B54*B47</x:f>
        <x:v>-89.95769999999999</x:v>
      </x:c>
      <x:c r="C59" s="84" t="n">
        <x:f aca="0">-C54*C47</x:f>
        <x:v>-93.92449500000001</x:v>
      </x:c>
      <x:c r="D59" s="84" t="n">
        <x:f aca="0">-D54*D47</x:f>
        <x:v>-97.88024137500001</x:v>
      </x:c>
      <x:c r="E59" s="84" t="n">
        <x:f aca="0">-E54*E47</x:f>
        <x:v>-101.609463312</x:v>
      </x:c>
      <x:c r="F59" s="85" t="n">
        <x:f aca="0">-F54*F47</x:f>
        <x:v>-105.07001085314998</x:v>
      </x:c>
    </x:row>
    <x:row r="60" ht="15" hidden="0">
      <x:c r="A60" s="77" t="s">
        <x:v>224</x:v>
      </x:c>
      <x:c r="B60" s="84" t="n">
        <x:f aca="0">-(C17-B17)*B48</x:f>
        <x:v>-0.7646000000000004</x:v>
      </x:c>
      <x:c r="C60" s="84" t="n">
        <x:f aca="0">-(D17-C17)*C48</x:f>
        <x:v>-0.881510000000003</x:v>
      </x:c>
      <x:c r="D60" s="84" t="n">
        <x:f aca="0">-(E17-D17)*D48</x:f>
        <x:v>-0.8790547500000002</x:v>
      </x:c>
      <x:c r="E60" s="84" t="n">
        <x:f aca="0">-(F17-E17)*E48</x:f>
        <x:v>-0.8287159859999974</x:v>
      </x:c>
      <x:c r="F60" s="85" t="n">
        <x:f aca="0">-(G17-F17)*F48</x:f>
        <x:v>-0.7690105646999973</x:v>
      </x:c>
    </x:row>
    <x:row r="61" ht="15" hidden="0">
      <x:c r="A61" s="97" t="s">
        <x:v>225</x:v>
      </x:c>
      <x:c r="B61" s="98" t="n">
        <x:f aca="0">SUM(B57:B60)</x:f>
        <x:v>174.2474169</x:v>
      </x:c>
      <x:c r="C61" s="98" t="n">
        <x:f aca="0">SUM(C57:C60)</x:f>
        <x:v>184.79859580000002</x:v>
      </x:c>
      <x:c r="D61" s="98" t="n">
        <x:f aca="0">SUM(D57:D60)</x:f>
        <x:v>195.542232904725</x:v>
      </x:c>
      <x:c r="E61" s="98" t="n">
        <x:f aca="0">SUM(E57:E60)</x:f>
        <x:v>204.07884694323005</x:v>
      </x:c>
      <x:c r="F61" s="99" t="n">
        <x:f aca="0">SUM(F57:F60)</x:f>
        <x:v>210.3970536036348</x:v>
      </x:c>
    </x:row>
    <x:row r="62" ht="15" hidden="0">
      <x:c r="A62" s="89"/>
      <x:c r="B62" s="90"/>
      <x:c r="C62" s="90"/>
      <x:c r="D62" s="90"/>
      <x:c r="E62" s="90"/>
      <x:c r="F62" s="90"/>
    </x:row>
    <x:row r="63" ht="15" hidden="0">
      <x:c r="A63" s="100" t="s">
        <x:v>226</x:v>
      </x:c>
      <x:c r="B63" s="101" t="n">
        <x:f aca="0">SUM(B61:D61)</x:f>
        <x:v>554.588245604725</x:v>
      </x:c>
      <x:c r="C63" s="90"/>
      <x:c r="D63" s="90"/>
      <x:c r="E63" s="90"/>
      <x:c r="F63" s="90"/>
    </x:row>
    <x:row r="64" ht="15" hidden="0">
      <x:c r="A64" s="102" t="s">
        <x:v>227</x:v>
      </x:c>
      <x:c r="B64" s="103" t="n">
        <x:v>550</x:v>
      </x:c>
      <x:c r="C64" s="90"/>
      <x:c r="D64" s="90"/>
      <x:c r="E64" s="90"/>
      <x:c r="F64" s="90"/>
    </x:row>
    <x:row r="65" ht="15" hidden="0">
      <x:c r="A65" s="104" t="s">
        <x:v>228</x:v>
      </x:c>
      <x:c r="B65" s="105" t="n">
        <x:f aca="0">B63-B64</x:f>
        <x:v>4.588245604724989</x:v>
      </x:c>
      <x:c r="C65" s="90"/>
      <x:c r="D65" s="90"/>
      <x:c r="E65" s="90"/>
      <x:c r="F65" s="90"/>
    </x:row>
    <x:row r="66" ht="30" hidden="0" customHeight="1">
      <x:c r="A66" s="106" t="s">
        <x:v>229</x:v>
      </x:c>
      <x:c r="B66" s="107" t="s">
        <x:v>230</x:v>
      </x:c>
      <x:c r="C66" s="107"/>
      <x:c r="D66" s="107"/>
      <x:c r="E66" s="107"/>
      <x:c r="F66" s="107"/>
    </x:row>
    <x:row r="68" ht="22" customHeight="1">
      <x:c r="A68" s="281" t="str">
        <x:v>WACC assumptions</x:v>
      </x:c>
      <x:c r="B68" s="282"/>
      <x:c r="C68" s="282"/>
      <x:c r="D68" s="282"/>
      <x:c r="E68" s="282"/>
      <x:c r="F68" s="282"/>
    </x:row>
    <x:row r="69" ht="20" customHeight="1">
      <x:c r="A69" s="285" t="str">
        <x:v>Input</x:v>
      </x:c>
      <x:c r="B69" s="286" t="str">
        <x:v>Value</x:v>
      </x:c>
      <x:c r="C69" s="286" t="str">
        <x:v>Source / rationale</x:v>
      </x:c>
      <x:c r="D69" s="286"/>
      <x:c r="E69" s="286"/>
      <x:c r="F69" s="287"/>
    </x:row>
    <x:row r="70">
      <x:c r="A70" s="257" t="str">
        <x:v>Risk-free rate</x:v>
      </x:c>
      <x:c r="B70" s="234" t="n">
        <x:v>0.0539</x:v>
      </x:c>
      <x:c r="C70" s="266" t="str">
        <x:v>UK 10-year gilt yield at 16-Sep-2026 (S011)</x:v>
      </x:c>
      <x:c r="D70" s="267"/>
      <x:c r="E70" s="267"/>
      <x:c r="F70" s="268"/>
    </x:row>
    <x:row r="71">
      <x:c r="A71" s="257" t="str">
        <x:v>Equity risk premium</x:v>
      </x:c>
      <x:c r="B71" s="234" t="n">
        <x:v>0.0414</x:v>
      </x:c>
      <x:c r="C71" s="266" t="str">
        <x:v>Damodaran implied mature-market premium (S014)</x:v>
      </x:c>
      <x:c r="D71" s="267"/>
      <x:c r="E71" s="267"/>
      <x:c r="F71" s="268"/>
    </x:row>
    <x:row r="72">
      <x:c r="A72" s="257" t="str">
        <x:v>Aerospace/Defence unlevered beta</x:v>
      </x:c>
      <x:c r="B72" s="235" t="n">
        <x:v>0.85</x:v>
      </x:c>
      <x:c r="C72" s="266" t="str">
        <x:v>January 2026 sector dataset; 79 firms (S013)</x:v>
      </x:c>
      <x:c r="D72" s="267"/>
      <x:c r="E72" s="267"/>
      <x:c r="F72" s="268"/>
    </x:row>
    <x:row r="73">
      <x:c r="A73" s="257" t="str">
        <x:v>Market capitalisation (£m)</x:v>
      </x:c>
      <x:c r="B73" s="236" t="n">
        <x:v>2434.72</x:v>
      </x:c>
      <x:c r="C73" s="266" t="str">
        <x:v>London Stock Exchange instrument market cap (S012)</x:v>
      </x:c>
      <x:c r="D73" s="267"/>
      <x:c r="E73" s="267"/>
      <x:c r="F73" s="268"/>
    </x:row>
    <x:row r="74">
      <x:c r="A74" s="257" t="str">
        <x:v>Gross debt (£m)</x:v>
      </x:c>
      <x:c r="B74" s="236" t="n">
        <x:v>333.6</x:v>
      </x:c>
      <x:c r="C74" s="266" t="str">
        <x:v>FY26 term loan; book value used as market-value proxy (S006)</x:v>
      </x:c>
      <x:c r="D74" s="267"/>
      <x:c r="E74" s="267"/>
      <x:c r="F74" s="268"/>
    </x:row>
    <x:row r="75">
      <x:c r="A75" s="257" t="str">
        <x:v>Debt / equity</x:v>
      </x:c>
      <x:c r="B75" s="237" t="n">
        <x:f>B74/B73</x:f>
        <x:v>0.13701780902937505</x:v>
      </x:c>
      <x:c r="C75" s="266" t="str">
        <x:v>Gross debt divided by market capitalisation</x:v>
      </x:c>
      <x:c r="D75" s="267"/>
      <x:c r="E75" s="267"/>
      <x:c r="F75" s="268"/>
    </x:row>
    <x:row r="76">
      <x:c r="A76" s="257" t="str">
        <x:v>Cash tax rate</x:v>
      </x:c>
      <x:c r="B76" s="237" t="n">
        <x:f>B45</x:f>
        <x:v>0.265</x:v>
      </x:c>
      <x:c r="C76" s="266" t="str">
        <x:v>Normalized operating cash tax rate used in UFCF</x:v>
      </x:c>
      <x:c r="D76" s="267"/>
      <x:c r="E76" s="267"/>
      <x:c r="F76" s="268"/>
    </x:row>
    <x:row r="77">
      <x:c r="A77" s="257" t="str">
        <x:v>Relevered beta</x:v>
      </x:c>
      <x:c r="B77" s="238" t="n">
        <x:f>B72*(1+(1-B76)*B75)</x:f>
        <x:v>0.935601876191102</x:v>
      </x:c>
      <x:c r="C77" s="266" t="str">
        <x:v>Unlevered beta x [1 + (1-tax rate) x debt/equity]</x:v>
      </x:c>
      <x:c r="D77" s="267"/>
      <x:c r="E77" s="267"/>
      <x:c r="F77" s="268"/>
    </x:row>
    <x:row r="78">
      <x:c r="A78" s="257" t="str">
        <x:v>Cost of equity</x:v>
      </x:c>
      <x:c r="B78" s="237" t="n">
        <x:f>B70+B77*B71</x:f>
        <x:v>0.09263391767431162</x:v>
      </x:c>
      <x:c r="C78" s="266" t="str">
        <x:v>CAPM: risk-free rate + beta x equity risk premium</x:v>
      </x:c>
      <x:c r="D78" s="267"/>
      <x:c r="E78" s="267"/>
      <x:c r="F78" s="268"/>
    </x:row>
    <x:row r="79">
      <x:c r="A79" s="257" t="str">
        <x:v>Pre-tax cost of debt</x:v>
      </x:c>
      <x:c r="B79" s="237" t="n">
        <x:v>0.05</x:v>
      </x:c>
      <x:c r="C79" s="266" t="str">
        <x:v>Normalized from term-loan swap, margin and floating tranche (S006)</x:v>
      </x:c>
      <x:c r="D79" s="267"/>
      <x:c r="E79" s="267"/>
      <x:c r="F79" s="268"/>
    </x:row>
    <x:row r="80">
      <x:c r="A80" s="257" t="str">
        <x:v>After-tax cost of debt</x:v>
      </x:c>
      <x:c r="B80" s="237" t="n">
        <x:f>B79*(1-B76)</x:f>
        <x:v>0.03675</x:v>
      </x:c>
      <x:c r="C80" s="266" t="str">
        <x:v>Pre-tax debt cost x (1-tax rate)</x:v>
      </x:c>
      <x:c r="D80" s="267"/>
      <x:c r="E80" s="267"/>
      <x:c r="F80" s="268"/>
    </x:row>
    <x:row r="81">
      <x:c r="A81" s="257" t="str">
        <x:v>Equity weight</x:v>
      </x:c>
      <x:c r="B81" s="237" t="n">
        <x:f>B73/(B73+B74)</x:f>
        <x:v>0.8794937001502716</x:v>
      </x:c>
      <x:c r="C81" s="266" t="str">
        <x:v>Market capitalisation / (market capitalisation + debt)</x:v>
      </x:c>
      <x:c r="D81" s="267"/>
      <x:c r="E81" s="267"/>
      <x:c r="F81" s="268"/>
    </x:row>
    <x:row r="82">
      <x:c r="A82" s="257" t="str">
        <x:v>Debt weight</x:v>
      </x:c>
      <x:c r="B82" s="237" t="n">
        <x:f>B74/(B73+B74)</x:f>
        <x:v>0.12050629984972838</x:v>
      </x:c>
      <x:c r="C82" s="266" t="str">
        <x:v>Debt / (market capitalisation + debt)</x:v>
      </x:c>
      <x:c r="D82" s="267"/>
      <x:c r="E82" s="267"/>
      <x:c r="F82" s="268"/>
    </x:row>
    <x:row r="83">
      <x:c r="A83" s="258" t="str">
        <x:v>WACC</x:v>
      </x:c>
      <x:c r="B83" s="239" t="n">
        <x:f>B81*B78+B82*B80</x:f>
        <x:v>0.08589955353427349</x:v>
      </x:c>
      <x:c r="C83" s="269" t="str">
        <x:v>Discount rate applied to UFCF</x:v>
      </x:c>
      <x:c r="D83" s="270"/>
      <x:c r="E83" s="270"/>
      <x:c r="F83" s="271"/>
    </x:row>
    <x:row r="84">
      <x:c r="A84" s="259"/>
      <x:c r="B84" s="240"/>
      <x:c r="C84" s="272"/>
      <x:c r="D84" s="273"/>
      <x:c r="E84" s="273"/>
      <x:c r="F84" s="273"/>
    </x:row>
    <x:row r="85">
      <x:c r="A85" s="259"/>
      <x:c r="B85" s="240"/>
      <x:c r="C85" s="272"/>
      <x:c r="D85" s="273"/>
      <x:c r="E85" s="273"/>
      <x:c r="F85" s="273"/>
    </x:row>
    <x:row r="86" ht="22" customHeight="1">
      <x:c r="A86" s="281" t="str">
        <x:v>Terminal value assumptions</x:v>
      </x:c>
      <x:c r="B86" s="283"/>
      <x:c r="C86" s="284"/>
      <x:c r="D86" s="281"/>
      <x:c r="E86" s="281"/>
      <x:c r="F86" s="281"/>
    </x:row>
    <x:row r="87" ht="20" customHeight="1">
      <x:c r="A87" s="285" t="str">
        <x:v>Input</x:v>
      </x:c>
      <x:c r="B87" s="288" t="str">
        <x:v>Value</x:v>
      </x:c>
      <x:c r="C87" s="289" t="str">
        <x:v>Source / rationale</x:v>
      </x:c>
      <x:c r="D87" s="290"/>
      <x:c r="E87" s="290"/>
      <x:c r="F87" s="291"/>
    </x:row>
    <x:row r="88">
      <x:c r="A88" s="257" t="str">
        <x:v>Perpetual growth rate</x:v>
      </x:c>
      <x:c r="B88" s="234" t="n">
        <x:v>0.02</x:v>
      </x:c>
      <x:c r="C88" s="266" t="str">
        <x:v>Bank of England 2% inflation target; below WACC (S015)</x:v>
      </x:c>
      <x:c r="D88" s="267"/>
      <x:c r="E88" s="267"/>
      <x:c r="F88" s="268"/>
    </x:row>
    <x:row r="89">
      <x:c r="A89" s="257" t="str">
        <x:v>FY31 UFCF (£m)</x:v>
      </x:c>
      <x:c r="B89" s="243" t="n">
        <x:f>F61</x:f>
        <x:v>210.3970536036348</x:v>
      </x:c>
      <x:c r="C89" s="266" t="str">
        <x:v>Final explicit forecast-year cash flow</x:v>
      </x:c>
      <x:c r="D89" s="267"/>
      <x:c r="E89" s="267"/>
      <x:c r="F89" s="268"/>
    </x:row>
    <x:row r="90">
      <x:c r="A90" s="261" t="str">
        <x:v>Terminal value (£m)</x:v>
      </x:c>
      <x:c r="B90" s="244" t="n">
        <x:f>B89*(1+B88)/(B83-B88)</x:f>
        <x:v>3256.547019914092</x:v>
      </x:c>
      <x:c r="C90" s="278" t="str">
        <x:v>FY31 UFCF x (1+g) / (WACC-g)</x:v>
      </x:c>
      <x:c r="D90" s="279"/>
      <x:c r="E90" s="279"/>
      <x:c r="F90" s="280"/>
    </x:row>
    <x:row r="91">
      <x:c r="A91" s="259"/>
      <x:c r="B91" s="240"/>
      <x:c r="C91" s="208"/>
      <x:c r="D91" s="208"/>
      <x:c r="E91" s="208"/>
      <x:c r="F91" s="208"/>
    </x:row>
    <x:row r="92">
      <x:c r="A92" s="259"/>
      <x:c r="B92" s="240"/>
      <x:c r="C92" s="208"/>
      <x:c r="D92" s="208"/>
      <x:c r="E92" s="208"/>
      <x:c r="F92" s="208"/>
    </x:row>
    <x:row r="93" ht="22" customHeight="1">
      <x:c r="A93" s="281" t="str">
        <x:v>Discounted cash flow valuation</x:v>
      </x:c>
      <x:c r="B93" s="283"/>
      <x:c r="C93" s="282"/>
      <x:c r="D93" s="282"/>
      <x:c r="E93" s="282"/>
      <x:c r="F93" s="282"/>
    </x:row>
    <x:row r="94" ht="20" customHeight="1">
      <x:c r="A94" s="285" t="str">
        <x:v>£m except per-share data</x:v>
      </x:c>
      <x:c r="B94" s="288" t="str">
        <x:v>FY27E</x:v>
      </x:c>
      <x:c r="C94" s="288" t="str">
        <x:v>FY28E</x:v>
      </x:c>
      <x:c r="D94" s="288" t="str">
        <x:v>FY29E</x:v>
      </x:c>
      <x:c r="E94" s="288" t="str">
        <x:v>FY30E</x:v>
      </x:c>
      <x:c r="F94" s="292" t="str">
        <x:v>FY31E</x:v>
      </x:c>
    </x:row>
    <x:row r="95">
      <x:c r="A95" s="257" t="str">
        <x:v>UFCF</x:v>
      </x:c>
      <x:c r="B95" s="243" t="n">
        <x:f>B61</x:f>
        <x:v>174.2474169</x:v>
      </x:c>
      <x:c r="C95" s="243" t="n">
        <x:f>C61</x:f>
        <x:v>184.79859580000002</x:v>
      </x:c>
      <x:c r="D95" s="243" t="n">
        <x:f>D61</x:f>
        <x:v>195.542232904725</x:v>
      </x:c>
      <x:c r="E95" s="243" t="n">
        <x:f>E61</x:f>
        <x:v>204.07884694323005</x:v>
      </x:c>
      <x:c r="F95" s="248" t="n">
        <x:f>F61</x:f>
        <x:v>210.3970536036348</x:v>
      </x:c>
    </x:row>
    <x:row r="96">
      <x:c r="A96" s="257" t="str">
        <x:v>Discount period (years)</x:v>
      </x:c>
      <x:c r="B96" s="245" t="n">
        <x:v>0.5</x:v>
      </x:c>
      <x:c r="C96" s="245" t="n">
        <x:v>1.5</x:v>
      </x:c>
      <x:c r="D96" s="245" t="n">
        <x:v>2.5</x:v>
      </x:c>
      <x:c r="E96" s="245" t="n">
        <x:v>3.5</x:v>
      </x:c>
      <x:c r="F96" s="253" t="n">
        <x:v>4.5</x:v>
      </x:c>
    </x:row>
    <x:row r="97">
      <x:c r="A97" s="257" t="str">
        <x:v>Discount factor</x:v>
      </x:c>
      <x:c r="B97" s="237" t="n">
        <x:f>1/(1+$B$83)^B96</x:f>
        <x:v>0.9596329968646349</x:v>
      </x:c>
      <x:c r="C97" s="237" t="n">
        <x:f>1/(1+$B$83)^C96</x:f>
        <x:v>0.883721697592858</x:v>
      </x:c>
      <x:c r="D97" s="237" t="n">
        <x:f>1/(1+$B$83)^D96</x:f>
        <x:v>0.8138153245542943</x:v>
      </x:c>
      <x:c r="E97" s="237" t="n">
        <x:f>1/(1+$B$83)^E96</x:f>
        <x:v>0.7494388609937009</x:v>
      </x:c>
      <x:c r="F97" s="254" t="n">
        <x:f>1/(1+$B$83)^F96</x:f>
        <x:v>0.6901548661241318</x:v>
      </x:c>
    </x:row>
    <x:row r="98">
      <x:c r="A98" s="262" t="str">
        <x:v>Present value of UFCF</x:v>
      </x:c>
      <x:c r="B98" s="246" t="n">
        <x:f>B95*B97</x:f>
        <x:v>167.2135708756684</x:v>
      </x:c>
      <x:c r="C98" s="246" t="n">
        <x:f>C95*C97</x:f>
        <x:v>163.3105287931524</x:v>
      </x:c>
      <x:c r="D98" s="246" t="n">
        <x:f>D95*D97</x:f>
        <x:v>159.13526573543018</x:v>
      </x:c>
      <x:c r="E98" s="246" t="n">
        <x:f>E95*E97</x:f>
        <x:v>152.94461860604216</x:v>
      </x:c>
      <x:c r="F98" s="255" t="n">
        <x:f>F95*F97</x:f>
        <x:v>145.20655036272834</x:v>
      </x:c>
    </x:row>
    <x:row r="99">
      <x:c r="A99" s="259"/>
      <x:c r="B99" s="240"/>
      <x:c r="C99" s="208"/>
      <x:c r="D99" s="208"/>
      <x:c r="E99" s="208"/>
      <x:c r="F99" s="208"/>
    </x:row>
    <x:row r="100">
      <x:c r="A100" s="263" t="str">
        <x:v>PV of explicit forecast UFCF</x:v>
      </x:c>
      <x:c r="B100" s="247" t="n">
        <x:f>SUM(B98:F98)</x:f>
        <x:v>787.8105343730214</x:v>
      </x:c>
      <x:c r="C100" s="208"/>
      <x:c r="D100" s="208"/>
      <x:c r="E100" s="208"/>
      <x:c r="F100" s="208"/>
    </x:row>
    <x:row r="101">
      <x:c r="A101" s="257" t="str">
        <x:v>Terminal value</x:v>
      </x:c>
      <x:c r="B101" s="248" t="n">
        <x:f>B90</x:f>
        <x:v>3256.547019914092</x:v>
      </x:c>
      <x:c r="C101" s="208"/>
      <x:c r="D101" s="208"/>
      <x:c r="E101" s="208"/>
      <x:c r="F101" s="208"/>
    </x:row>
    <x:row r="102">
      <x:c r="A102" s="257" t="str">
        <x:v>PV of terminal value</x:v>
      </x:c>
      <x:c r="B102" s="248" t="n">
        <x:f>B101*F97</x:f>
        <x:v>2247.5217725557504</x:v>
      </x:c>
      <x:c r="C102" s="208"/>
      <x:c r="D102" s="208"/>
      <x:c r="E102" s="208"/>
      <x:c r="F102" s="208"/>
    </x:row>
    <x:row r="103">
      <x:c r="A103" s="264" t="str">
        <x:v>Enterprise value</x:v>
      </x:c>
      <x:c r="B103" s="249" t="n">
        <x:f>B100+B102</x:f>
        <x:v>3035.3323069287717</x:v>
      </x:c>
      <x:c r="C103" s="208"/>
      <x:c r="D103" s="208"/>
      <x:c r="E103" s="208"/>
      <x:c r="F103" s="208"/>
    </x:row>
    <x:row r="104">
      <x:c r="A104" s="257" t="str">
        <x:v>Less: net debt</x:v>
      </x:c>
      <x:c r="B104" s="248" t="n">
        <x:f>159.1</x:f>
        <x:v>159.1</x:v>
      </x:c>
      <x:c r="C104" s="208"/>
      <x:c r="D104" s="208"/>
      <x:c r="E104" s="208"/>
      <x:c r="F104" s="208"/>
    </x:row>
    <x:row r="105">
      <x:c r="A105" s="264" t="str">
        <x:v>Equity value</x:v>
      </x:c>
      <x:c r="B105" s="249" t="n">
        <x:f>B103-B104</x:f>
        <x:v>2876.232306928772</x:v>
      </x:c>
      <x:c r="C105" s="208"/>
      <x:c r="D105" s="208"/>
      <x:c r="E105" s="208"/>
      <x:c r="F105" s="208"/>
    </x:row>
    <x:row r="106">
      <x:c r="A106" s="257" t="str">
        <x:v>Shares outstanding (m)</x:v>
      </x:c>
      <x:c r="B106" s="248" t="n">
        <x:f>522.1</x:f>
        <x:v>522.1</x:v>
      </x:c>
      <x:c r="C106" s="208"/>
      <x:c r="D106" s="208"/>
      <x:c r="E106" s="208"/>
      <x:c r="F106" s="208"/>
    </x:row>
    <x:row r="107" ht="20" customHeight="1">
      <x:c r="A107" s="264" t="str">
        <x:v>Implied value per share (£)</x:v>
      </x:c>
      <x:c r="B107" s="293" t="n">
        <x:f>B105/B106</x:f>
        <x:v>5.5089682185956175</x:v>
      </x:c>
      <x:c r="C107" s="208"/>
      <x:c r="D107" s="208"/>
      <x:c r="E107" s="208"/>
      <x:c r="F107" s="208"/>
    </x:row>
    <x:row r="108">
      <x:c r="A108" s="265" t="str">
        <x:v>Terminal value / enterprise value</x:v>
      </x:c>
      <x:c r="B108" s="251" t="n">
        <x:f>B102/B103</x:f>
        <x:v>0.7404532832946557</x:v>
      </x:c>
      <x:c r="C108" s="208"/>
      <x:c r="D108" s="208"/>
      <x:c r="E108" s="208"/>
      <x:c r="F108" s="208"/>
    </x:row>
    <x:row r="111" ht="22" customHeight="1">
      <x:c r="A111" s="316" t="str">
        <x:v>WACC / terminal-growth sensitivity</x:v>
      </x:c>
      <x:c r="B111" s="316"/>
      <x:c r="C111" s="316"/>
      <x:c r="D111" s="316"/>
      <x:c r="E111" s="316"/>
      <x:c r="F111" s="316"/>
    </x:row>
    <x:row r="112" ht="20" customHeight="1">
      <x:c r="A112" s="317" t="str">
        <x:v>Implied value per share (£)</x:v>
      </x:c>
      <x:c r="B112" s="318" t="n">
        <x:f>B88-1.0%</x:f>
        <x:v>0.01</x:v>
      </x:c>
      <x:c r="C112" s="318" t="n">
        <x:f>B88-0.5%</x:f>
        <x:v>0.015</x:v>
      </x:c>
      <x:c r="D112" s="318" t="n">
        <x:f>B88</x:f>
        <x:v>0.02</x:v>
      </x:c>
      <x:c r="E112" s="318" t="n">
        <x:f>B88+0.5%</x:f>
        <x:v>0.025</x:v>
      </x:c>
      <x:c r="F112" s="318" t="n">
        <x:f>B88+1.0%</x:f>
        <x:v>0.03</x:v>
      </x:c>
    </x:row>
    <x:row r="113">
      <x:c r="A113" s="318" t="n">
        <x:f>B83-1.0%</x:f>
        <x:v>0.0758995535342735</x:v>
      </x:c>
      <x:c r="B113" s="319" t="n">
        <x:f>(SUM($B$95/(1+$A113)^$B$96,$C$95/(1+$A113)^$C$96,$D$95/(1+$A113)^$D$96,$E$95/(1+$A113)^$E$96,$F$95/(1+$A113)^$F$96)+$F$95*(1+B$112)/($A113-B$112)/(1+$A113)^$F$96-$B$104)/$B$106</x:f>
        <x:v>5.682422829730986</x:v>
      </x:c>
      <x:c r="C113" s="319" t="n">
        <x:f>(SUM($B$95/(1+$A113)^$B$96,$C$95/(1+$A113)^$C$96,$D$95/(1+$A113)^$D$96,$E$95/(1+$A113)^$E$96,$F$95/(1+$A113)^$F$96)+$F$95*(1+C$112)/($A113-C$112)/(1+$A113)^$F$96-$B$104)/$B$106</x:f>
        <x:v>6.07107253100267</x:v>
      </x:c>
      <x:c r="D113" s="319" t="n">
        <x:f>(SUM($B$95/(1+$A113)^$B$96,$C$95/(1+$A113)^$C$96,$D$95/(1+$A113)^$D$96,$E$95/(1+$A113)^$E$96,$F$95/(1+$A113)^$F$96)+$F$95*(1+D$112)/($A113-D$112)/(1+$A113)^$F$96-$B$104)/$B$106</x:f>
        <x:v>6.52924867330995</x:v>
      </x:c>
      <x:c r="E113" s="319" t="n">
        <x:f>(SUM($B$95/(1+$A113)^$B$96,$C$95/(1+$A113)^$C$96,$D$95/(1+$A113)^$D$96,$E$95/(1+$A113)^$E$96,$F$95/(1+$A113)^$F$96)+$F$95*(1+E$112)/($A113-E$112)/(1+$A113)^$F$96-$B$104)/$B$106</x:f>
        <x:v>7.0774405643798906</x:v>
      </x:c>
      <x:c r="F113" s="319" t="n">
        <x:f>(SUM($B$95/(1+$A113)^$B$96,$C$95/(1+$A113)^$C$96,$D$95/(1+$A113)^$D$96,$E$95/(1+$A113)^$E$96,$F$95/(1+$A113)^$F$96)+$F$95*(1+F$112)/($A113-F$112)/(1+$A113)^$F$96-$B$104)/$B$106</x:f>
        <x:v>7.745065401711631</x:v>
      </x:c>
    </x:row>
    <x:row r="114">
      <x:c r="A114" s="318" t="n">
        <x:f>B83-0.5%</x:f>
        <x:v>0.08089955353427349</x:v>
      </x:c>
      <x:c r="B114" s="319" t="n">
        <x:f>(SUM($B$95/(1+$A114)^$B$96,$C$95/(1+$A114)^$C$96,$D$95/(1+$A114)^$D$96,$E$95/(1+$A114)^$E$96,$F$95/(1+$A114)^$F$96)+$F$95*(1+B$112)/($A114-B$112)/(1+$A114)^$F$96-$B$104)/$B$106</x:f>
        <x:v>5.266357287108647</x:v>
      </x:c>
      <x:c r="C114" s="319" t="n">
        <x:f>(SUM($B$95/(1+$A114)^$B$96,$C$95/(1+$A114)^$C$96,$D$95/(1+$A114)^$D$96,$E$95/(1+$A114)^$E$96,$F$95/(1+$A114)^$F$96)+$F$95*(1+C$112)/($A114-C$112)/(1+$A114)^$F$96-$B$104)/$B$106</x:f>
        <x:v>5.594816396556393</x:v>
      </x:c>
      <x:c r="D114" s="319" t="n">
        <x:f>(SUM($B$95/(1+$A114)^$B$96,$C$95/(1+$A114)^$C$96,$D$95/(1+$A114)^$D$96,$E$95/(1+$A114)^$E$96,$F$95/(1+$A114)^$F$96)+$F$95*(1+D$112)/($A114-D$112)/(1+$A114)^$F$96-$B$104)/$B$106</x:f>
        <x:v>5.977210073728497</x:v>
      </x:c>
      <x:c r="E114" s="319" t="n">
        <x:f>(SUM($B$95/(1+$A114)^$B$96,$C$95/(1+$A114)^$C$96,$D$95/(1+$A114)^$D$96,$E$95/(1+$A114)^$E$96,$F$95/(1+$A114)^$F$96)+$F$95*(1+E$112)/($A114-E$112)/(1+$A114)^$F$96-$B$104)/$B$106</x:f>
        <x:v>6.428011037362675</x:v>
      </x:c>
      <x:c r="F114" s="319" t="n">
        <x:f>(SUM($B$95/(1+$A114)^$B$96,$C$95/(1+$A114)^$C$96,$D$95/(1+$A114)^$D$96,$E$95/(1+$A114)^$E$96,$F$95/(1+$A114)^$F$96)+$F$95*(1+F$112)/($A114-F$112)/(1+$A114)^$F$96-$B$104)/$B$106</x:f>
        <x:v>6.9673787824973274</x:v>
      </x:c>
    </x:row>
    <x:row r="115">
      <x:c r="A115" s="318" t="n">
        <x:f>B83</x:f>
        <x:v>0.08589955353427349</x:v>
      </x:c>
      <x:c r="B115" s="319" t="n">
        <x:f>(SUM($B$95/(1+$A115)^$B$96,$C$95/(1+$A115)^$C$96,$D$95/(1+$A115)^$D$96,$E$95/(1+$A115)^$E$96,$F$95/(1+$A115)^$F$96)+$F$95*(1+B$112)/($A115-B$112)/(1+$A115)^$F$96-$B$104)/$B$106</x:f>
        <x:v>4.905157975801304</x:v>
      </x:c>
      <x:c r="C115" s="319" t="n">
        <x:f>(SUM($B$95/(1+$A115)^$B$96,$C$95/(1+$A115)^$C$96,$D$95/(1+$A115)^$D$96,$E$95/(1+$A115)^$E$96,$F$95/(1+$A115)^$F$96)+$F$95*(1+C$112)/($A115-C$112)/(1+$A115)^$F$96-$B$104)/$B$106</x:f>
        <x:v>5.185772051885234</x:v>
      </x:c>
      <x:c r="D115" s="320" t="n">
        <x:f>(SUM($B$95/(1+$A115)^$B$96,$C$95/(1+$A115)^$C$96,$D$95/(1+$A115)^$D$96,$E$95/(1+$A115)^$E$96,$F$95/(1+$A115)^$F$96)+$F$95*(1+D$112)/($A115-D$112)/(1+$A115)^$F$96-$B$104)/$B$106</x:f>
        <x:v>5.5089682185956175</x:v>
      </x:c>
      <x:c r="E115" s="319" t="n">
        <x:f>(SUM($B$95/(1+$A115)^$B$96,$C$95/(1+$A115)^$C$96,$D$95/(1+$A115)^$D$96,$E$95/(1+$A115)^$E$96,$F$95/(1+$A115)^$F$96)+$F$95*(1+E$112)/($A115-E$112)/(1+$A115)^$F$96-$B$104)/$B$106</x:f>
        <x:v>5.885234752485046</x:v>
      </x:c>
      <x:c r="F115" s="319" t="n">
        <x:f>(SUM($B$95/(1+$A115)^$B$96,$C$95/(1+$A115)^$C$96,$D$95/(1+$A115)^$D$96,$E$95/(1+$A115)^$E$96,$F$95/(1+$A115)^$F$96)+$F$95*(1+F$112)/($A115-F$112)/(1+$A115)^$F$96-$B$104)/$B$106</x:f>
        <x:v>6.328812474049477</x:v>
      </x:c>
    </x:row>
    <x:row r="116">
      <x:c r="A116" s="318" t="n">
        <x:f>B83+0.5%</x:f>
        <x:v>0.0908995535342735</x:v>
      </x:c>
      <x:c r="B116" s="319" t="n">
        <x:f>(SUM($B$95/(1+$A116)^$B$96,$C$95/(1+$A116)^$C$96,$D$95/(1+$A116)^$D$96,$E$95/(1+$A116)^$E$96,$F$95/(1+$A116)^$F$96)+$F$95*(1+B$112)/($A116-B$112)/(1+$A116)^$F$96-$B$104)/$B$106</x:f>
        <x:v>4.58865060237105</x:v>
      </x:c>
      <x:c r="C116" s="319" t="n">
        <x:f>(SUM($B$95/(1+$A116)^$B$96,$C$95/(1+$A116)^$C$96,$D$95/(1+$A116)^$D$96,$E$95/(1+$A116)^$E$96,$F$95/(1+$A116)^$F$96)+$F$95*(1+C$112)/($A116-C$112)/(1+$A116)^$F$96-$B$104)/$B$106</x:f>
        <x:v>4.830655382679221</x:v>
      </x:c>
      <x:c r="D116" s="319" t="n">
        <x:f>(SUM($B$95/(1+$A116)^$B$96,$C$95/(1+$A116)^$C$96,$D$95/(1+$A116)^$D$96,$E$95/(1+$A116)^$E$96,$F$95/(1+$A116)^$F$96)+$F$95*(1+D$112)/($A116-D$112)/(1+$A116)^$F$96-$B$104)/$B$106</x:f>
        <x:v>5.106793633262518</x:v>
      </x:c>
      <x:c r="E116" s="319" t="n">
        <x:f>(SUM($B$95/(1+$A116)^$B$96,$C$95/(1+$A116)^$C$96,$D$95/(1+$A116)^$D$96,$E$95/(1+$A116)^$E$96,$F$95/(1+$A116)^$F$96)+$F$95*(1+E$112)/($A116-E$112)/(1+$A116)^$F$96-$B$104)/$B$106</x:f>
        <x:v>5.424834785424607</x:v>
      </x:c>
      <x:c r="F116" s="319" t="n">
        <x:f>(SUM($B$95/(1+$A116)^$B$96,$C$95/(1+$A116)^$C$96,$D$95/(1+$A116)^$D$96,$E$95/(1+$A116)^$E$96,$F$95/(1+$A116)^$F$96)+$F$95*(1+F$112)/($A116-F$112)/(1+$A116)^$F$96-$B$104)/$B$106</x:f>
        <x:v>5.795099826548884</x:v>
      </x:c>
    </x:row>
    <x:row r="117">
      <x:c r="A117" s="318" t="n">
        <x:f>B83+1.0%</x:f>
        <x:v>0.09589955353427349</x:v>
      </x:c>
      <x:c r="B117" s="319" t="n">
        <x:f>(SUM($B$95/(1+$A117)^$B$96,$C$95/(1+$A117)^$C$96,$D$95/(1+$A117)^$D$96,$E$95/(1+$A117)^$E$96,$F$95/(1+$A117)^$F$96)+$F$95*(1+B$112)/($A117-B$112)/(1+$A117)^$F$96-$B$104)/$B$106</x:f>
        <x:v>4.309029788169878</x:v>
      </x:c>
      <x:c r="C117" s="319" t="n">
        <x:f>(SUM($B$95/(1+$A117)^$B$96,$C$95/(1+$A117)^$C$96,$D$95/(1+$A117)^$D$96,$E$95/(1+$A117)^$E$96,$F$95/(1+$A117)^$F$96)+$F$95*(1+C$112)/($A117-C$112)/(1+$A117)^$F$96-$B$104)/$B$106</x:f>
        <x:v>4.519466403690085</x:v>
      </x:c>
      <x:c r="D117" s="319" t="n">
        <x:f>(SUM($B$95/(1+$A117)^$B$96,$C$95/(1+$A117)^$C$96,$D$95/(1+$A117)^$D$96,$E$95/(1+$A117)^$E$96,$F$95/(1+$A117)^$F$96)+$F$95*(1+D$112)/($A117-D$112)/(1+$A117)^$F$96-$B$104)/$B$106</x:f>
        <x:v>4.757628691591909</x:v>
      </x:c>
      <x:c r="E117" s="319" t="n">
        <x:f>(SUM($B$95/(1+$A117)^$B$96,$C$95/(1+$A117)^$C$96,$D$95/(1+$A117)^$D$96,$E$95/(1+$A117)^$E$96,$F$95/(1+$A117)^$F$96)+$F$95*(1+E$112)/($A117-E$112)/(1+$A117)^$F$96-$B$104)/$B$106</x:f>
        <x:v>5.029382486919331</x:v>
      </x:c>
      <x:c r="F117" s="319" t="n">
        <x:f>(SUM($B$95/(1+$A117)^$B$96,$C$95/(1+$A117)^$C$96,$D$95/(1+$A117)^$D$96,$E$95/(1+$A117)^$E$96,$F$95/(1+$A117)^$F$96)+$F$95*(1+F$112)/($A117-F$112)/(1+$A117)^$F$96-$B$104)/$B$106</x:f>
        <x:v>5.342373859855848</x:v>
      </x:c>
    </x:row>
    <x:row r="118">
      <x:c r="A118" s="321"/>
      <x:c r="B118" s="321"/>
      <x:c r="C118" s="321"/>
      <x:c r="D118" s="321"/>
      <x:c r="E118" s="321"/>
      <x:c r="F118" s="321"/>
    </x:row>
    <x:row r="119" ht="32" customHeight="1">
      <x:c r="A119" s="322" t="str">
        <x:v>Lower WACC and higher terminal growth increase value. The centre cell matches the £5.51 base case; the full matrix recalculates both explicit-period and terminal-value discounting.</x:v>
      </x:c>
      <x:c r="B119" s="322"/>
      <x:c r="C119" s="322"/>
      <x:c r="D119" s="322"/>
      <x:c r="E119" s="322"/>
      <x:c r="F119" s="322"/>
    </x:row>
    <x:row r="122" ht="22" customHeight="1">
      <x:c r="A122" s="407" t="str">
        <x:v>Restructuring-case assumptions</x:v>
      </x:c>
      <x:c r="B122" s="407"/>
      <x:c r="C122" s="407"/>
      <x:c r="D122" s="407"/>
      <x:c r="E122" s="407"/>
      <x:c r="F122" s="407"/>
      <x:c r="G122" s="321"/>
    </x:row>
    <x:row r="123" ht="20" customHeight="1">
      <x:c r="A123" s="408" t="str">
        <x:v>Assumption</x:v>
      </x:c>
      <x:c r="B123" s="409" t="str">
        <x:v>FY27E</x:v>
      </x:c>
      <x:c r="C123" s="409" t="str">
        <x:v>FY28E</x:v>
      </x:c>
      <x:c r="D123" s="409" t="str">
        <x:v>FY29E</x:v>
      </x:c>
      <x:c r="E123" s="409" t="str">
        <x:v>FY30E</x:v>
      </x:c>
      <x:c r="F123" s="409" t="str">
        <x:v>FY31E</x:v>
      </x:c>
      <x:c r="G123" s="321"/>
    </x:row>
    <x:row r="124">
      <x:c r="A124" s="366" t="str">
        <x:v>Global Solutions revenue growth</x:v>
      </x:c>
      <x:c r="B124" s="367" t="n">
        <x:v>-0.04</x:v>
      </x:c>
      <x:c r="C124" s="367" t="n">
        <x:v>0</x:v>
      </x:c>
      <x:c r="D124" s="367" t="n">
        <x:v>0.04</x:v>
      </x:c>
      <x:c r="E124" s="367" t="n">
        <x:v>0.05</x:v>
      </x:c>
      <x:c r="F124" s="367" t="n">
        <x:v>0.04</x:v>
      </x:c>
      <x:c r="G124" s="321"/>
    </x:row>
    <x:row r="125">
      <x:c r="A125" s="366" t="str">
        <x:v>Global Solutions operating margin</x:v>
      </x:c>
      <x:c r="B125" s="367" t="n">
        <x:v>0.075</x:v>
      </x:c>
      <x:c r="C125" s="367" t="n">
        <x:v>0.09</x:v>
      </x:c>
      <x:c r="D125" s="367" t="n">
        <x:v>0.1</x:v>
      </x:c>
      <x:c r="E125" s="367" t="n">
        <x:v>0.105</x:v>
      </x:c>
      <x:c r="F125" s="367" t="n">
        <x:v>0.11</x:v>
      </x:c>
      <x:c r="G125" s="321"/>
    </x:row>
    <x:row r="126">
      <x:c r="A126" s="366" t="str">
        <x:v>Gross restructuring cash costs (£m)</x:v>
      </x:c>
      <x:c r="B126" s="368" t="n">
        <x:v>15</x:v>
      </x:c>
      <x:c r="C126" s="368" t="n">
        <x:v>10</x:v>
      </x:c>
      <x:c r="D126" s="368" t="n">
        <x:v>0</x:v>
      </x:c>
      <x:c r="E126" s="368" t="n">
        <x:v>0</x:v>
      </x:c>
      <x:c r="F126" s="368" t="n">
        <x:v>0</x:v>
      </x:c>
      <x:c r="G126" s="321"/>
    </x:row>
    <x:row r="127">
      <x:c r="A127" s="366" t="str">
        <x:v>After-tax restructuring cash costs (£m)</x:v>
      </x:c>
      <x:c r="B127" s="369" t="n">
        <x:f>B126*(1-B45)</x:f>
        <x:v>11.025</x:v>
      </x:c>
      <x:c r="C127" s="369" t="n">
        <x:f>C126*(1-C45)</x:f>
        <x:v>7.35</x:v>
      </x:c>
      <x:c r="D127" s="369" t="n">
        <x:f>D126*(1-D45)</x:f>
        <x:v>0</x:v>
      </x:c>
      <x:c r="E127" s="369" t="n">
        <x:f>E126*(1-E45)</x:f>
        <x:v>0</x:v>
      </x:c>
      <x:c r="F127" s="369" t="n">
        <x:f>F126*(1-F45)</x:f>
        <x:v>0</x:v>
      </x:c>
      <x:c r="G127" s="321"/>
    </x:row>
    <x:row r="128">
      <x:c r="A128" s="370" t="str">
        <x:v>Implementation status</x:v>
      </x:c>
      <x:c r="B128" s="371" t="str">
        <x:v>Main actions</x:v>
      </x:c>
      <x:c r="C128" s="371" t="str">
        <x:v>Completion</x:v>
      </x:c>
      <x:c r="D128" s="371" t="str">
        <x:v>Benefits building</x:v>
      </x:c>
      <x:c r="E128" s="371" t="str">
        <x:v>Fully implemented</x:v>
      </x:c>
      <x:c r="F128" s="371" t="str">
        <x:v>Steady state</x:v>
      </x:c>
      <x:c r="G128" s="321"/>
    </x:row>
    <x:row r="129">
      <x:c r="A129" s="321"/>
      <x:c r="B129" s="321"/>
      <x:c r="C129" s="321"/>
      <x:c r="D129" s="321"/>
      <x:c r="E129" s="321"/>
      <x:c r="F129" s="321"/>
      <x:c r="G129" s="321"/>
    </x:row>
    <x:row r="130" ht="34" customHeight="1">
      <x:c r="A130" s="417" t="str">
        <x:v>Hypothetical incremental restructuring case. Assumptions and evidence are documented in research/restructuring_case_assumptions.md; costs are estimates, not management guidance.</x:v>
      </x:c>
      <x:c r="B130" s="417"/>
      <x:c r="C130" s="417"/>
      <x:c r="D130" s="417"/>
      <x:c r="E130" s="417"/>
      <x:c r="F130" s="417"/>
      <x:c r="G130" s="321"/>
    </x:row>
    <x:row r="131">
      <x:c r="A131" s="321"/>
      <x:c r="B131" s="321"/>
      <x:c r="C131" s="321"/>
      <x:c r="D131" s="321"/>
      <x:c r="E131" s="321"/>
      <x:c r="F131" s="321"/>
      <x:c r="G131" s="321"/>
    </x:row>
    <x:row r="132" ht="22" customHeight="1">
      <x:c r="A132" s="407" t="str">
        <x:v>Restructuring-case segment forecast</x:v>
      </x:c>
      <x:c r="B132" s="407"/>
      <x:c r="C132" s="407"/>
      <x:c r="D132" s="407"/>
      <x:c r="E132" s="407"/>
      <x:c r="F132" s="407"/>
      <x:c r="G132" s="407"/>
    </x:row>
    <x:row r="133" ht="20" customHeight="1">
      <x:c r="A133" s="408" t="str">
        <x:v>£m except percentages</x:v>
      </x:c>
      <x:c r="B133" s="409" t="str">
        <x:v>FY26A</x:v>
      </x:c>
      <x:c r="C133" s="409" t="str">
        <x:v>FY27E</x:v>
      </x:c>
      <x:c r="D133" s="409" t="str">
        <x:v>FY28E</x:v>
      </x:c>
      <x:c r="E133" s="409" t="str">
        <x:v>FY29E</x:v>
      </x:c>
      <x:c r="F133" s="409" t="str">
        <x:v>FY30E</x:v>
      </x:c>
      <x:c r="G133" s="409" t="str">
        <x:v>FY31E</x:v>
      </x:c>
    </x:row>
    <x:row r="134">
      <x:c r="A134" s="321" t="str">
        <x:v>EMEA Services revenue</x:v>
      </x:c>
      <x:c r="B134" s="373" t="n">
        <x:f>B15</x:f>
        <x:v>1529.2</x:v>
      </x:c>
      <x:c r="C134" s="373" t="n">
        <x:f>C15</x:f>
        <x:v>1605.66</x:v>
      </x:c>
      <x:c r="D134" s="373" t="n">
        <x:f>D15</x:f>
        <x:v>1685.9430000000002</x:v>
      </x:c>
      <x:c r="E134" s="373" t="n">
        <x:f>E15</x:f>
        <x:v>1761.810435</x:v>
      </x:c>
      <x:c r="F134" s="373" t="n">
        <x:f>F15</x:f>
        <x:v>1832.2828524000001</x:v>
      </x:c>
      <x:c r="G134" s="373" t="n">
        <x:f>G15</x:f>
        <x:v>1896.412752234</x:v>
      </x:c>
    </x:row>
    <x:row r="135">
      <x:c r="A135" s="321" t="str">
        <x:v>Global Solutions revenue</x:v>
      </x:c>
      <x:c r="B135" s="373" t="n">
        <x:f>B16</x:f>
        <x:v>393.4</x:v>
      </x:c>
      <x:c r="C135" s="373" t="n">
        <x:f>B135*(1+B124)</x:f>
        <x:v>377.664</x:v>
      </x:c>
      <x:c r="D135" s="373" t="n">
        <x:f>C135*(1+C124)</x:f>
        <x:v>377.664</x:v>
      </x:c>
      <x:c r="E135" s="373" t="n">
        <x:f>D135*(1+D124)</x:f>
        <x:v>392.77056</x:v>
      </x:c>
      <x:c r="F135" s="373" t="n">
        <x:f>E135*(1+E124)</x:f>
        <x:v>412.409088</x:v>
      </x:c>
      <x:c r="G135" s="373" t="n">
        <x:f>F135*(1+F124)</x:f>
        <x:v>428.90545152</x:v>
      </x:c>
    </x:row>
    <x:row r="136">
      <x:c r="A136" s="321" t="str">
        <x:v>Group revenue</x:v>
      </x:c>
      <x:c r="B136" s="373" t="n">
        <x:f>B134+B135</x:f>
        <x:v>1922.6</x:v>
      </x:c>
      <x:c r="C136" s="373" t="n">
        <x:f>C134+C135</x:f>
        <x:v>1983.324</x:v>
      </x:c>
      <x:c r="D136" s="373" t="n">
        <x:f>D134+D135</x:f>
        <x:v>2063.607</x:v>
      </x:c>
      <x:c r="E136" s="373" t="n">
        <x:f>E134+E135</x:f>
        <x:v>2154.5809950000003</x:v>
      </x:c>
      <x:c r="F136" s="373" t="n">
        <x:f>F134+F135</x:f>
        <x:v>2244.6919404</x:v>
      </x:c>
      <x:c r="G136" s="373" t="n">
        <x:f>G134+G135</x:f>
        <x:v>2325.318203754</x:v>
      </x:c>
    </x:row>
    <x:row r="137">
      <x:c r="A137" s="321" t="str">
        <x:v>Group revenue growth</x:v>
      </x:c>
      <x:c r="B137" s="374" t="n">
        <x:f>B18</x:f>
        <x:v>0</x:v>
      </x:c>
      <x:c r="C137" s="374" t="n">
        <x:f>C136/B136-1</x:f>
        <x:v>0.03158431290960162</x:v>
      </x:c>
      <x:c r="D137" s="374" t="n">
        <x:f>D136/C136-1</x:f>
        <x:v>0.040479014018889536</x:v>
      </x:c>
      <x:c r="E137" s="374" t="n">
        <x:f>E136/D136-1</x:f>
        <x:v>0.044084942045651276</x:v>
      </x:c>
      <x:c r="F137" s="374" t="n">
        <x:f>F136/E136-1</x:f>
        <x:v>0.04182295565082694</x:v>
      </x:c>
      <x:c r="G137" s="374" t="n">
        <x:f>G136/F136-1</x:f>
        <x:v>0.035918631818864455</x:v>
      </x:c>
    </x:row>
    <x:row r="138">
      <x:c r="A138" s="321" t="str"/>
      <x:c r="B138" s="375"/>
      <x:c r="C138" s="375"/>
      <x:c r="D138" s="375"/>
      <x:c r="E138" s="375"/>
      <x:c r="F138" s="375"/>
      <x:c r="G138" s="375"/>
    </x:row>
    <x:row r="139">
      <x:c r="A139" s="321" t="str">
        <x:v>EMEA Services operating profit</x:v>
      </x:c>
      <x:c r="B139" s="376" t="n">
        <x:f>Segments!H16</x:f>
        <x:v>182.3</x:v>
      </x:c>
      <x:c r="C139" s="373" t="n">
        <x:f>C20</x:f>
        <x:v>191.07354</x:v>
      </x:c>
      <x:c r="D139" s="373" t="n">
        <x:f>D20</x:f>
        <x:v>202.31316</x:v>
      </x:c>
      <x:c r="E139" s="373" t="n">
        <x:f>E20</x:f>
        <x:v>213.179062635</x:v>
      </x:c>
      <x:c r="F139" s="373" t="n">
        <x:f>F20</x:f>
        <x:v>221.70622514040002</x:v>
      </x:c>
      <x:c r="G139" s="373" t="n">
        <x:f>G20</x:f>
        <x:v>227.56953026808</x:v>
      </x:c>
    </x:row>
    <x:row r="140">
      <x:c r="A140" s="321" t="str">
        <x:v>Global Solutions operating profit</x:v>
      </x:c>
      <x:c r="B140" s="376" t="n">
        <x:f>Segments!H17</x:f>
        <x:v>35.6</x:v>
      </x:c>
      <x:c r="C140" s="373" t="n">
        <x:f>C135*B125</x:f>
        <x:v>28.3248</x:v>
      </x:c>
      <x:c r="D140" s="373" t="n">
        <x:f>D135*C125</x:f>
        <x:v>33.98976</x:v>
      </x:c>
      <x:c r="E140" s="373" t="n">
        <x:f>E135*D125</x:f>
        <x:v>39.277056</x:v>
      </x:c>
      <x:c r="F140" s="373" t="n">
        <x:f>F135*E125</x:f>
        <x:v>43.30295424</x:v>
      </x:c>
      <x:c r="G140" s="373" t="n">
        <x:f>G135*F125</x:f>
        <x:v>47.1795996672</x:v>
      </x:c>
    </x:row>
    <x:row r="141">
      <x:c r="A141" s="321" t="str">
        <x:v>Group operating profit</x:v>
      </x:c>
      <x:c r="B141" s="373" t="n">
        <x:f>B139+B140</x:f>
        <x:v>217.9</x:v>
      </x:c>
      <x:c r="C141" s="373" t="n">
        <x:f>C139+C140</x:f>
        <x:v>219.39834000000002</x:v>
      </x:c>
      <x:c r="D141" s="373" t="n">
        <x:f>D139+D140</x:f>
        <x:v>236.30292</x:v>
      </x:c>
      <x:c r="E141" s="373" t="n">
        <x:f>E139+E140</x:f>
        <x:v>252.456118635</x:v>
      </x:c>
      <x:c r="F141" s="373" t="n">
        <x:f>F139+F140</x:f>
        <x:v>265.00917938040004</x:v>
      </x:c>
      <x:c r="G141" s="373" t="n">
        <x:f>G139+G140</x:f>
        <x:v>274.74912993528</x:v>
      </x:c>
    </x:row>
    <x:row r="142">
      <x:c r="A142" s="321" t="str">
        <x:v>Group operating margin</x:v>
      </x:c>
      <x:c r="B142" s="374" t="n">
        <x:f>B141/B136</x:f>
        <x:v>0.11333610735462396</x:v>
      </x:c>
      <x:c r="C142" s="374" t="n">
        <x:f>C141/C136</x:f>
        <x:v>0.11062153233662277</x:v>
      </x:c>
      <x:c r="D142" s="374" t="n">
        <x:f>D141/D136</x:f>
        <x:v>0.1145096522739068</x:v>
      </x:c>
      <x:c r="E142" s="374" t="n">
        <x:f>E141/E136</x:f>
        <x:v>0.11717179313326301</x:v>
      </x:c>
      <x:c r="F142" s="374" t="n">
        <x:f>F141/F136</x:f>
        <x:v>0.11806037817963382</x:v>
      </x:c>
      <x:c r="G142" s="374" t="n">
        <x:f>G141/G136</x:f>
        <x:v>0.11815549781175078</x:v>
      </x:c>
    </x:row>
    <x:row r="143">
      <x:c r="A143" s="321"/>
      <x:c r="B143" s="321"/>
      <x:c r="C143" s="321"/>
      <x:c r="D143" s="321"/>
      <x:c r="E143" s="321"/>
      <x:c r="F143" s="321"/>
      <x:c r="G143" s="321"/>
    </x:row>
    <x:row r="144">
      <x:c r="A144" s="321"/>
      <x:c r="B144" s="321"/>
      <x:c r="C144" s="321"/>
      <x:c r="D144" s="321"/>
      <x:c r="E144" s="321"/>
      <x:c r="F144" s="321"/>
      <x:c r="G144" s="321"/>
    </x:row>
    <x:row r="145">
      <x:c r="A145" s="321"/>
      <x:c r="B145" s="321"/>
      <x:c r="C145" s="321"/>
      <x:c r="D145" s="321"/>
      <x:c r="E145" s="321"/>
      <x:c r="F145" s="321"/>
      <x:c r="G145" s="321"/>
    </x:row>
    <x:row r="146" ht="22" customHeight="1">
      <x:c r="A146" s="407" t="str">
        <x:v>Restructuring-case unlevered free cash flow</x:v>
      </x:c>
      <x:c r="B146" s="407"/>
      <x:c r="C146" s="407"/>
      <x:c r="D146" s="407"/>
      <x:c r="E146" s="407"/>
      <x:c r="F146" s="407"/>
      <x:c r="G146" s="321"/>
    </x:row>
    <x:row r="147" ht="20" customHeight="1">
      <x:c r="A147" s="408" t="str">
        <x:v>£m except percentages</x:v>
      </x:c>
      <x:c r="B147" s="409" t="str">
        <x:v>FY27E</x:v>
      </x:c>
      <x:c r="C147" s="409" t="str">
        <x:v>FY28E</x:v>
      </x:c>
      <x:c r="D147" s="409" t="str">
        <x:v>FY29E</x:v>
      </x:c>
      <x:c r="E147" s="409" t="str">
        <x:v>FY30E</x:v>
      </x:c>
      <x:c r="F147" s="409" t="str">
        <x:v>FY31E</x:v>
      </x:c>
      <x:c r="G147" s="321"/>
    </x:row>
    <x:row r="148">
      <x:c r="A148" s="321" t="str">
        <x:v>Revenue</x:v>
      </x:c>
      <x:c r="B148" s="377" t="n">
        <x:f>C136</x:f>
        <x:v>1983.324</x:v>
      </x:c>
      <x:c r="C148" s="377" t="n">
        <x:f>D136</x:f>
        <x:v>2063.607</x:v>
      </x:c>
      <x:c r="D148" s="377" t="n">
        <x:f>E136</x:f>
        <x:v>2154.5809950000003</x:v>
      </x:c>
      <x:c r="E148" s="377" t="n">
        <x:f>F136</x:f>
        <x:v>2244.6919404</x:v>
      </x:c>
      <x:c r="F148" s="377" t="n">
        <x:f>G136</x:f>
        <x:v>2325.318203754</x:v>
      </x:c>
      <x:c r="G148" s="321"/>
    </x:row>
    <x:row r="149">
      <x:c r="A149" s="321" t="str">
        <x:v>EBIT</x:v>
      </x:c>
      <x:c r="B149" s="377" t="n">
        <x:f>C141</x:f>
        <x:v>219.39834000000002</x:v>
      </x:c>
      <x:c r="C149" s="377" t="n">
        <x:f>D141</x:f>
        <x:v>236.30292</x:v>
      </x:c>
      <x:c r="D149" s="377" t="n">
        <x:f>E141</x:f>
        <x:v>252.456118635</x:v>
      </x:c>
      <x:c r="E149" s="377" t="n">
        <x:f>F141</x:f>
        <x:v>265.00917938040004</x:v>
      </x:c>
      <x:c r="F149" s="377" t="n">
        <x:f>G141</x:f>
        <x:v>274.74912993528</x:v>
      </x:c>
      <x:c r="G149" s="321"/>
    </x:row>
    <x:row r="150">
      <x:c r="A150" s="321" t="str">
        <x:v>Cash tax rate</x:v>
      </x:c>
      <x:c r="B150" s="378" t="n">
        <x:f>B45</x:f>
        <x:v>0.265</x:v>
      </x:c>
      <x:c r="C150" s="378" t="n">
        <x:f>C45</x:f>
        <x:v>0.265</x:v>
      </x:c>
      <x:c r="D150" s="378" t="n">
        <x:f>D45</x:f>
        <x:v>0.265</x:v>
      </x:c>
      <x:c r="E150" s="378" t="n">
        <x:f>E45</x:f>
        <x:v>0.265</x:v>
      </x:c>
      <x:c r="F150" s="378" t="n">
        <x:f>F45</x:f>
        <x:v>0.265</x:v>
      </x:c>
      <x:c r="G150" s="321"/>
    </x:row>
    <x:row r="151">
      <x:c r="A151" s="321" t="str">
        <x:v>NOPAT</x:v>
      </x:c>
      <x:c r="B151" s="377" t="n">
        <x:f>B149*(1-B150)</x:f>
        <x:v>161.2577799</x:v>
      </x:c>
      <x:c r="C151" s="377" t="n">
        <x:f>C149*(1-C150)</x:f>
        <x:v>173.6826462</x:v>
      </x:c>
      <x:c r="D151" s="377" t="n">
        <x:f>D149*(1-D150)</x:f>
        <x:v>185.555247196725</x:v>
      </x:c>
      <x:c r="E151" s="377" t="n">
        <x:f>E149*(1-E150)</x:f>
        <x:v>194.78174684459404</x:v>
      </x:c>
      <x:c r="F151" s="377" t="n">
        <x:f>F149*(1-F150)</x:f>
        <x:v>201.9406105024308</x:v>
      </x:c>
      <x:c r="G151" s="321"/>
    </x:row>
    <x:row r="152">
      <x:c r="A152" s="321" t="str">
        <x:v>D&amp;A</x:v>
      </x:c>
      <x:c r="B152" s="377" t="n">
        <x:f>B148*B46</x:f>
        <x:v>99.1662</x:v>
      </x:c>
      <x:c r="C152" s="377" t="n">
        <x:f>C148*C46</x:f>
        <x:v>103.18035</x:v>
      </x:c>
      <x:c r="D152" s="377" t="n">
        <x:f>D148*D46</x:f>
        <x:v>107.72904975000002</x:v>
      </x:c>
      <x:c r="E152" s="377" t="n">
        <x:f>E148*E46</x:f>
        <x:v>112.23459702000001</x:v>
      </x:c>
      <x:c r="F152" s="377" t="n">
        <x:f>F148*F46</x:f>
        <x:v>116.2659101877</x:v>
      </x:c>
      <x:c r="G152" s="321"/>
    </x:row>
    <x:row r="153">
      <x:c r="A153" s="321" t="str">
        <x:v>CapEx</x:v>
      </x:c>
      <x:c r="B153" s="377" t="n">
        <x:f>-B148*B47</x:f>
        <x:v>-89.24958</x:v>
      </x:c>
      <x:c r="C153" s="377" t="n">
        <x:f>-C148*C47</x:f>
        <x:v>-92.862315</x:v>
      </x:c>
      <x:c r="D153" s="377" t="n">
        <x:f>-D148*D47</x:f>
        <x:v>-96.95614477500001</x:v>
      </x:c>
      <x:c r="E153" s="377" t="n">
        <x:f>-E148*E47</x:f>
        <x:v>-101.011137318</x:v>
      </x:c>
      <x:c r="F153" s="377" t="n">
        <x:f>-F148*F47</x:f>
        <x:v>-104.63931916893</x:v>
      </x:c>
      <x:c r="G153" s="321"/>
    </x:row>
    <x:row r="154">
      <x:c r="A154" s="321" t="str">
        <x:v>Change in NWC</x:v>
      </x:c>
      <x:c r="B154" s="377" t="n">
        <x:f>-(B148-$B$136)*B48</x:f>
        <x:v>-0.6072400000000017</x:v>
      </x:c>
      <x:c r="C154" s="377" t="n">
        <x:f>-(C148-B148)*C48</x:f>
        <x:v>-0.802829999999999</x:v>
      </x:c>
      <x:c r="D154" s="377" t="n">
        <x:f>-(D148-C148)*D48</x:f>
        <x:v>-0.9097399500000029</x:v>
      </x:c>
      <x:c r="E154" s="377" t="n">
        <x:f>-(E148-D148)*E48</x:f>
        <x:v>-0.9011094539999976</x:v>
      </x:c>
      <x:c r="F154" s="377" t="n">
        <x:f>-(F148-E148)*F48</x:f>
        <x:v>-0.80626263354</x:v>
      </x:c>
      <x:c r="G154" s="321"/>
    </x:row>
    <x:row r="155">
      <x:c r="A155" s="321" t="str">
        <x:v>UFCF before restructuring</x:v>
      </x:c>
      <x:c r="B155" s="377" t="n">
        <x:f>SUM(B151:B154)</x:f>
        <x:v>170.56715990000004</x:v>
      </x:c>
      <x:c r="C155" s="377" t="n">
        <x:f>SUM(C151:C154)</x:f>
        <x:v>183.1978512</x:v>
      </x:c>
      <x:c r="D155" s="377" t="n">
        <x:f>SUM(D151:D154)</x:f>
        <x:v>195.418412221725</x:v>
      </x:c>
      <x:c r="E155" s="377" t="n">
        <x:f>SUM(E151:E154)</x:f>
        <x:v>205.10409709259403</x:v>
      </x:c>
      <x:c r="F155" s="377" t="n">
        <x:f>SUM(F151:F154)</x:f>
        <x:v>212.76093888766079</x:v>
      </x:c>
      <x:c r="G155" s="321"/>
    </x:row>
    <x:row r="156">
      <x:c r="A156" s="321" t="str">
        <x:v>After-tax restructuring cash costs</x:v>
      </x:c>
      <x:c r="B156" s="377" t="n">
        <x:f>-B127</x:f>
        <x:v>-11.025</x:v>
      </x:c>
      <x:c r="C156" s="377" t="n">
        <x:f>-C127</x:f>
        <x:v>-7.35</x:v>
      </x:c>
      <x:c r="D156" s="377" t="n">
        <x:f>-D127</x:f>
        <x:v>0</x:v>
      </x:c>
      <x:c r="E156" s="377" t="n">
        <x:f>-E127</x:f>
        <x:v>0</x:v>
      </x:c>
      <x:c r="F156" s="377" t="n">
        <x:f>-F127</x:f>
        <x:v>0</x:v>
      </x:c>
      <x:c r="G156" s="321"/>
    </x:row>
    <x:row r="157">
      <x:c r="A157" s="410" t="str">
        <x:v>UFCF after restructuring</x:v>
      </x:c>
      <x:c r="B157" s="411" t="n">
        <x:f>SUM(B155:B156)</x:f>
        <x:v>159.54215990000003</x:v>
      </x:c>
      <x:c r="C157" s="411" t="n">
        <x:f>SUM(C155:C156)</x:f>
        <x:v>175.8478512</x:v>
      </x:c>
      <x:c r="D157" s="411" t="n">
        <x:f>SUM(D155:D156)</x:f>
        <x:v>195.418412221725</x:v>
      </x:c>
      <x:c r="E157" s="411" t="n">
        <x:f>SUM(E155:E156)</x:f>
        <x:v>205.10409709259403</x:v>
      </x:c>
      <x:c r="F157" s="411" t="n">
        <x:f>SUM(F155:F156)</x:f>
        <x:v>212.76093888766079</x:v>
      </x:c>
      <x:c r="G157" s="321"/>
    </x:row>
    <x:row r="158">
      <x:c r="A158" s="321"/>
      <x:c r="B158" s="321"/>
      <x:c r="C158" s="321"/>
      <x:c r="D158" s="321"/>
      <x:c r="E158" s="321"/>
      <x:c r="F158" s="321"/>
      <x:c r="G158" s="321"/>
    </x:row>
    <x:row r="159" ht="22" customHeight="1">
      <x:c r="A159" s="407" t="str">
        <x:v>Restructuring-case DCF valuation</x:v>
      </x:c>
      <x:c r="B159" s="407"/>
      <x:c r="C159" s="407"/>
      <x:c r="D159" s="407"/>
      <x:c r="E159" s="407"/>
      <x:c r="F159" s="407"/>
      <x:c r="G159" s="321"/>
    </x:row>
    <x:row r="160" ht="20" customHeight="1">
      <x:c r="A160" s="408" t="str">
        <x:v>£m except per-share data</x:v>
      </x:c>
      <x:c r="B160" s="409" t="str">
        <x:v>FY27E</x:v>
      </x:c>
      <x:c r="C160" s="409" t="str">
        <x:v>FY28E</x:v>
      </x:c>
      <x:c r="D160" s="409" t="str">
        <x:v>FY29E</x:v>
      </x:c>
      <x:c r="E160" s="409" t="str">
        <x:v>FY30E</x:v>
      </x:c>
      <x:c r="F160" s="409" t="str">
        <x:v>FY31E</x:v>
      </x:c>
      <x:c r="G160" s="321"/>
    </x:row>
    <x:row r="161">
      <x:c r="A161" s="321" t="str">
        <x:v>UFCF</x:v>
      </x:c>
      <x:c r="B161" s="377" t="n">
        <x:f>B157</x:f>
        <x:v>159.54215990000003</x:v>
      </x:c>
      <x:c r="C161" s="377" t="n">
        <x:f>C157</x:f>
        <x:v>175.8478512</x:v>
      </x:c>
      <x:c r="D161" s="377" t="n">
        <x:f>D157</x:f>
        <x:v>195.418412221725</x:v>
      </x:c>
      <x:c r="E161" s="377" t="n">
        <x:f>E157</x:f>
        <x:v>205.10409709259403</x:v>
      </x:c>
      <x:c r="F161" s="377" t="n">
        <x:f>F157</x:f>
        <x:v>212.76093888766079</x:v>
      </x:c>
      <x:c r="G161" s="321"/>
    </x:row>
    <x:row r="162">
      <x:c r="A162" s="321" t="str">
        <x:v>Discount period</x:v>
      </x:c>
      <x:c r="B162" s="381" t="n">
        <x:f>B96</x:f>
        <x:v>0.5</x:v>
      </x:c>
      <x:c r="C162" s="381" t="n">
        <x:f>C96</x:f>
        <x:v>1.5</x:v>
      </x:c>
      <x:c r="D162" s="381" t="n">
        <x:f>D96</x:f>
        <x:v>2.5</x:v>
      </x:c>
      <x:c r="E162" s="381" t="n">
        <x:f>E96</x:f>
        <x:v>3.5</x:v>
      </x:c>
      <x:c r="F162" s="381" t="n">
        <x:f>F96</x:f>
        <x:v>4.5</x:v>
      </x:c>
      <x:c r="G162" s="321"/>
    </x:row>
    <x:row r="163">
      <x:c r="A163" s="321" t="str">
        <x:v>Discount factor</x:v>
      </x:c>
      <x:c r="B163" s="381" t="n">
        <x:f>1/(1+$B$83)^B162</x:f>
        <x:v>0.9596329968646349</x:v>
      </x:c>
      <x:c r="C163" s="381" t="n">
        <x:f>1/(1+$B$83)^C162</x:f>
        <x:v>0.883721697592858</x:v>
      </x:c>
      <x:c r="D163" s="381" t="n">
        <x:f>1/(1+$B$83)^D162</x:f>
        <x:v>0.8138153245542943</x:v>
      </x:c>
      <x:c r="E163" s="381" t="n">
        <x:f>1/(1+$B$83)^E162</x:f>
        <x:v>0.7494388609937009</x:v>
      </x:c>
      <x:c r="F163" s="381" t="n">
        <x:f>1/(1+$B$83)^F162</x:f>
        <x:v>0.6901548661241318</x:v>
      </x:c>
      <x:c r="G163" s="321"/>
    </x:row>
    <x:row r="164">
      <x:c r="A164" s="321" t="str">
        <x:v>Present value of UFCF</x:v>
      </x:c>
      <x:c r="B164" s="377" t="n">
        <x:f>B161*B163</x:f>
        <x:v>153.1019210310938</x:v>
      </x:c>
      <x:c r="C164" s="377" t="n">
        <x:f>C161*C163</x:f>
        <x:v>155.4005615805203</x:v>
      </x:c>
      <x:c r="D164" s="377" t="n">
        <x:f>D161*D163</x:f>
        <x:v>159.034498566108</x:v>
      </x:c>
      <x:c r="E164" s="377" t="n">
        <x:f>E161*E163</x:f>
        <x:v>153.71298091021512</x:v>
      </x:c>
      <x:c r="F164" s="377" t="n">
        <x:f>F161*F163</x:f>
        <x:v>146.83799729445812</x:v>
      </x:c>
      <x:c r="G164" s="321"/>
    </x:row>
    <x:row r="165">
      <x:c r="A165" s="321" t="str"/>
      <x:c r="B165" s="321"/>
      <x:c r="C165" s="321"/>
      <x:c r="D165" s="321"/>
      <x:c r="E165" s="321"/>
      <x:c r="F165" s="321"/>
      <x:c r="G165" s="321"/>
    </x:row>
    <x:row r="166">
      <x:c r="A166" s="321" t="str">
        <x:v>PV of explicit-period UFCF</x:v>
      </x:c>
      <x:c r="B166" s="377" t="n">
        <x:f>SUM(B164:F164)</x:f>
        <x:v>768.0879593823954</x:v>
      </x:c>
      <x:c r="C166" s="321"/>
      <x:c r="D166" s="321"/>
      <x:c r="E166" s="321"/>
      <x:c r="F166" s="321"/>
      <x:c r="G166" s="321"/>
    </x:row>
    <x:row r="167">
      <x:c r="A167" s="321" t="str">
        <x:v>Terminal value</x:v>
      </x:c>
      <x:c r="B167" s="377" t="n">
        <x:f>F161*(1+$B$88)/($B$83-$B$88)</x:f>
        <x:v>3293.135477049124</x:v>
      </x:c>
      <x:c r="C167" s="321"/>
      <x:c r="D167" s="321"/>
      <x:c r="E167" s="321"/>
      <x:c r="F167" s="321"/>
      <x:c r="G167" s="321"/>
    </x:row>
    <x:row r="168">
      <x:c r="A168" s="321" t="str">
        <x:v>PV of terminal value</x:v>
      </x:c>
      <x:c r="B168" s="377" t="n">
        <x:f>B167*F163</x:f>
        <x:v>2272.773474291467</x:v>
      </x:c>
      <x:c r="C168" s="321"/>
      <x:c r="D168" s="321"/>
      <x:c r="E168" s="321"/>
      <x:c r="F168" s="321"/>
      <x:c r="G168" s="321"/>
    </x:row>
    <x:row r="169">
      <x:c r="A169" s="410" t="str">
        <x:v>Enterprise value</x:v>
      </x:c>
      <x:c r="B169" s="411" t="n">
        <x:f>B166+B168</x:f>
        <x:v>3040.861433673863</x:v>
      </x:c>
      <x:c r="C169" s="321"/>
      <x:c r="D169" s="321"/>
      <x:c r="E169" s="321"/>
      <x:c r="F169" s="321"/>
      <x:c r="G169" s="321"/>
    </x:row>
    <x:row r="170">
      <x:c r="A170" s="321" t="str">
        <x:v>Less: net debt</x:v>
      </x:c>
      <x:c r="B170" s="377" t="n">
        <x:f>$B$104</x:f>
        <x:v>159.1</x:v>
      </x:c>
      <x:c r="C170" s="321"/>
      <x:c r="D170" s="321"/>
      <x:c r="E170" s="321"/>
      <x:c r="F170" s="321"/>
      <x:c r="G170" s="321"/>
    </x:row>
    <x:row r="171">
      <x:c r="A171" s="410" t="str">
        <x:v>Equity value</x:v>
      </x:c>
      <x:c r="B171" s="411" t="n">
        <x:f>B169-B170</x:f>
        <x:v>2881.761433673863</x:v>
      </x:c>
      <x:c r="C171" s="321"/>
      <x:c r="D171" s="321"/>
      <x:c r="E171" s="321"/>
      <x:c r="F171" s="321"/>
      <x:c r="G171" s="321"/>
    </x:row>
    <x:row r="172">
      <x:c r="A172" s="321" t="str">
        <x:v>Diluted shares (m)</x:v>
      </x:c>
      <x:c r="B172" s="377" t="n">
        <x:f>$B$106</x:f>
        <x:v>522.1</x:v>
      </x:c>
      <x:c r="C172" s="321"/>
      <x:c r="D172" s="321"/>
      <x:c r="E172" s="321"/>
      <x:c r="F172" s="321"/>
      <x:c r="G172" s="321"/>
    </x:row>
    <x:row r="173">
      <x:c r="A173" s="410" t="str">
        <x:v>Implied value per share (£)</x:v>
      </x:c>
      <x:c r="B173" s="412" t="n">
        <x:f>B171/B172</x:f>
        <x:v>5.519558386657466</x:v>
      </x:c>
      <x:c r="C173" s="321"/>
      <x:c r="D173" s="321"/>
      <x:c r="E173" s="321"/>
      <x:c r="F173" s="321"/>
      <x:c r="G173" s="321"/>
    </x:row>
    <x:row r="174">
      <x:c r="A174" s="321" t="str">
        <x:v>Difference vs base (£/share)</x:v>
      </x:c>
      <x:c r="B174" s="383" t="n">
        <x:f>B173-$B$107</x:f>
        <x:v>0.010590168061848537</x:v>
      </x:c>
      <x:c r="C174" s="321"/>
      <x:c r="D174" s="321"/>
      <x:c r="E174" s="321"/>
      <x:c r="F174" s="321"/>
      <x:c r="G174" s="321"/>
    </x:row>
    <x:row r="175">
      <x:c r="A175" s="321" t="str">
        <x:v>Change vs base</x:v>
      </x:c>
      <x:c r="B175" s="378" t="n">
        <x:f>B173/$B$107-1</x:f>
        <x:v>0.0019223505458065837</x:v>
      </x:c>
      <x:c r="C175" s="321"/>
      <x:c r="D175" s="321"/>
      <x:c r="E175" s="321"/>
      <x:c r="F175" s="321"/>
      <x:c r="G175" s="321"/>
    </x:row>
    <x:row r="176">
      <x:c r="A176" s="321" t="str">
        <x:v>Terminal value / enterprise value</x:v>
      </x:c>
      <x:c r="B176" s="378" t="n">
        <x:f>B168/B169</x:f>
        <x:v>0.7474110622481017</x:v>
      </x:c>
      <x:c r="C176" s="321"/>
      <x:c r="D176" s="321"/>
      <x:c r="E176" s="321"/>
      <x:c r="F176" s="321"/>
      <x:c r="G176" s="321"/>
    </x:row>
    <x:row r="177">
      <x:c r="A177" s="321"/>
      <x:c r="B177" s="321"/>
      <x:c r="C177" s="321"/>
      <x:c r="D177" s="321"/>
      <x:c r="E177" s="321"/>
      <x:c r="F177" s="321"/>
      <x:c r="G177" s="321"/>
    </x:row>
    <x:row r="178" ht="22" customHeight="1">
      <x:c r="A178" s="407" t="str">
        <x:v>Base case vs restructuring case</x:v>
      </x:c>
      <x:c r="B178" s="407"/>
      <x:c r="C178" s="407"/>
      <x:c r="D178" s="407"/>
      <x:c r="E178" s="321"/>
      <x:c r="F178" s="321"/>
      <x:c r="G178" s="321"/>
    </x:row>
    <x:row r="179" ht="20" customHeight="1">
      <x:c r="A179" s="408" t="str">
        <x:v>Metric</x:v>
      </x:c>
      <x:c r="B179" s="409" t="str">
        <x:v>Base case</x:v>
      </x:c>
      <x:c r="C179" s="409" t="str">
        <x:v>Restructuring</x:v>
      </x:c>
      <x:c r="D179" s="409" t="str">
        <x:v>Change</x:v>
      </x:c>
      <x:c r="E179" s="321"/>
      <x:c r="F179" s="321"/>
      <x:c r="G179" s="321"/>
    </x:row>
    <x:row r="180">
      <x:c r="A180" s="366" t="str">
        <x:v>FY27 UFCF (£m)</x:v>
      </x:c>
      <x:c r="B180" s="413" t="n">
        <x:f>B61</x:f>
        <x:v>174.2474169</x:v>
      </x:c>
      <x:c r="C180" s="415" t="n">
        <x:f>B157</x:f>
        <x:v>159.54215990000003</x:v>
      </x:c>
      <x:c r="D180" s="386" t="n">
        <x:f>C180-B180</x:f>
        <x:v>-14.70525699999996</x:v>
      </x:c>
      <x:c r="E180" s="321"/>
      <x:c r="F180" s="321"/>
      <x:c r="G180" s="321"/>
    </x:row>
    <x:row r="181">
      <x:c r="A181" s="366" t="str">
        <x:v>FY31 UFCF (£m)</x:v>
      </x:c>
      <x:c r="B181" s="413" t="n">
        <x:f>F61</x:f>
        <x:v>210.3970536036348</x:v>
      </x:c>
      <x:c r="C181" s="415" t="n">
        <x:f>F157</x:f>
        <x:v>212.76093888766079</x:v>
      </x:c>
      <x:c r="D181" s="386" t="n">
        <x:f>C181-B181</x:f>
        <x:v>2.363885284025997</x:v>
      </x:c>
      <x:c r="E181" s="321"/>
      <x:c r="F181" s="321"/>
      <x:c r="G181" s="321"/>
    </x:row>
    <x:row r="182">
      <x:c r="A182" s="366" t="str">
        <x:v>PV of explicit UFCF (£m)</x:v>
      </x:c>
      <x:c r="B182" s="413" t="n">
        <x:f>B100</x:f>
        <x:v>787.8105343730214</x:v>
      </x:c>
      <x:c r="C182" s="415" t="n">
        <x:f>B166</x:f>
        <x:v>768.0879593823954</x:v>
      </x:c>
      <x:c r="D182" s="386" t="n">
        <x:f>C182-B182</x:f>
        <x:v>-19.722574990625958</x:v>
      </x:c>
      <x:c r="E182" s="321"/>
      <x:c r="F182" s="321"/>
      <x:c r="G182" s="321"/>
    </x:row>
    <x:row r="183">
      <x:c r="A183" s="366" t="str">
        <x:v>PV of terminal value (£m)</x:v>
      </x:c>
      <x:c r="B183" s="413" t="n">
        <x:f>B102</x:f>
        <x:v>2247.5217725557504</x:v>
      </x:c>
      <x:c r="C183" s="415" t="n">
        <x:f>B168</x:f>
        <x:v>2272.773474291467</x:v>
      </x:c>
      <x:c r="D183" s="386" t="n">
        <x:f>C183-B183</x:f>
        <x:v>25.25170173571678</x:v>
      </x:c>
      <x:c r="E183" s="321"/>
      <x:c r="F183" s="321"/>
      <x:c r="G183" s="321"/>
    </x:row>
    <x:row r="184">
      <x:c r="A184" s="366" t="str">
        <x:v>Enterprise value (£m)</x:v>
      </x:c>
      <x:c r="B184" s="413" t="n">
        <x:f>B103</x:f>
        <x:v>3035.3323069287717</x:v>
      </x:c>
      <x:c r="C184" s="415" t="n">
        <x:f>B169</x:f>
        <x:v>3040.861433673863</x:v>
      </x:c>
      <x:c r="D184" s="386" t="n">
        <x:f>C184-B184</x:f>
        <x:v>5.529126745091162</x:v>
      </x:c>
      <x:c r="E184" s="321"/>
      <x:c r="F184" s="321"/>
      <x:c r="G184" s="321"/>
    </x:row>
    <x:row r="185">
      <x:c r="A185" s="366" t="str">
        <x:v>Equity value (£m)</x:v>
      </x:c>
      <x:c r="B185" s="413" t="n">
        <x:f>B105</x:f>
        <x:v>2876.232306928772</x:v>
      </x:c>
      <x:c r="C185" s="415" t="n">
        <x:f>B171</x:f>
        <x:v>2881.761433673863</x:v>
      </x:c>
      <x:c r="D185" s="386" t="n">
        <x:f>C185-B185</x:f>
        <x:v>5.529126745091162</x:v>
      </x:c>
      <x:c r="E185" s="321"/>
      <x:c r="F185" s="321"/>
      <x:c r="G185" s="321"/>
    </x:row>
    <x:row r="186">
      <x:c r="A186" s="370" t="str">
        <x:v>Implied value per share (£)</x:v>
      </x:c>
      <x:c r="B186" s="414" t="n">
        <x:f>B107</x:f>
        <x:v>5.5089682185956175</x:v>
      </x:c>
      <x:c r="C186" s="416" t="n">
        <x:f>B173</x:f>
        <x:v>5.519558386657466</x:v>
      </x:c>
      <x:c r="D186" s="389" t="n">
        <x:f>C186-B186</x:f>
        <x:v>0.010590168061848537</x:v>
      </x:c>
      <x:c r="E186" s="321"/>
      <x:c r="F186" s="321"/>
      <x:c r="G186" s="321"/>
    </x:row>
    <x:row r="187">
      <x:c r="A187" s="321"/>
      <x:c r="B187" s="321"/>
      <x:c r="C187" s="321"/>
      <x:c r="D187" s="321"/>
      <x:c r="E187" s="321"/>
      <x:c r="F187" s="321"/>
      <x:c r="G187" s="321"/>
    </x:row>
    <x:row r="188" ht="34" customHeight="1">
      <x:c r="A188" s="417" t="str">
        <x:v>Conclusion: restructuring is approximately value-neutral in this case. Higher long-run cash flow is largely offset by upfront costs and near-term disruption, so the assumptions do not force a preferred strategic answer.</x:v>
      </x:c>
      <x:c r="B188" s="417"/>
      <x:c r="C188" s="417"/>
      <x:c r="D188" s="417"/>
      <x:c r="E188" s="417"/>
      <x:c r="F188" s="417"/>
      <x:c r="G188" s="321"/>
    </x:row>
    <x:row r="191" ht="22" customHeight="1">
      <x:c r="A191" s="496" t="str">
        <x:v>US disposal-case transaction assumptions</x:v>
      </x:c>
      <x:c r="B191" s="496"/>
      <x:c r="C191" s="496"/>
      <x:c r="D191" s="496"/>
      <x:c r="E191" s="496"/>
      <x:c r="F191" s="496"/>
      <x:c r="G191" s="321"/>
    </x:row>
    <x:row r="192" ht="20" customHeight="1">
      <x:c r="A192" s="497" t="str">
        <x:v>Assumption</x:v>
      </x:c>
      <x:c r="B192" s="498" t="str">
        <x:v>Value</x:v>
      </x:c>
      <x:c r="C192" s="321"/>
      <x:c r="D192" s="321"/>
      <x:c r="E192" s="321"/>
      <x:c r="F192" s="321"/>
      <x:c r="G192" s="321"/>
    </x:row>
    <x:row r="193">
      <x:c r="A193" s="366" t="str">
        <x:v>US revenue sold (£m)</x:v>
      </x:c>
      <x:c r="B193" s="469" t="n">
        <x:v>290.7</x:v>
      </x:c>
      <x:c r="C193" s="321"/>
      <x:c r="D193" s="321"/>
      <x:c r="E193" s="321"/>
      <x:c r="F193" s="321"/>
      <x:c r="G193" s="321"/>
    </x:row>
    <x:row r="194">
      <x:c r="A194" s="366" t="str">
        <x:v>Assumed FY26 US operating margin</x:v>
      </x:c>
      <x:c r="B194" s="367" t="n">
        <x:v>0.075</x:v>
      </x:c>
      <x:c r="C194" s="321"/>
      <x:c r="D194" s="321"/>
      <x:c r="E194" s="321"/>
      <x:c r="F194" s="321"/>
      <x:c r="G194" s="321"/>
    </x:row>
    <x:row r="195">
      <x:c r="A195" s="366" t="str">
        <x:v>Implied US operating profit (£m)</x:v>
      </x:c>
      <x:c r="B195" s="470" t="n">
        <x:f>B193*B194</x:f>
        <x:v>21.8025</x:v>
      </x:c>
      <x:c r="C195" s="321"/>
      <x:c r="D195" s="321"/>
      <x:c r="E195" s="321"/>
      <x:c r="F195" s="321"/>
      <x:c r="G195" s="321"/>
    </x:row>
    <x:row r="196">
      <x:c r="A196" s="366" t="str">
        <x:v>Other Products revenue retained (£m)</x:v>
      </x:c>
      <x:c r="B196" s="470" t="n">
        <x:f>B16-B193</x:f>
        <x:v>102.69999999999999</x:v>
      </x:c>
      <x:c r="C196" s="321"/>
      <x:c r="D196" s="321"/>
      <x:c r="E196" s="321"/>
      <x:c r="F196" s="321"/>
      <x:c r="G196" s="321"/>
    </x:row>
    <x:row r="197">
      <x:c r="A197" s="366" t="str">
        <x:v>Implied Other Products operating profit (£m)</x:v>
      </x:c>
      <x:c r="B197" s="471" t="n">
        <x:f>Segments!H17-B195</x:f>
        <x:v>13.797500000000003</x:v>
      </x:c>
      <x:c r="C197" s="321"/>
      <x:c r="D197" s="321"/>
      <x:c r="E197" s="321"/>
      <x:c r="F197" s="321"/>
      <x:c r="G197" s="321"/>
    </x:row>
    <x:row r="198">
      <x:c r="A198" s="366" t="str">
        <x:v>Implied Other Products operating margin</x:v>
      </x:c>
      <x:c r="B198" s="472" t="n">
        <x:f>B197/B196</x:f>
        <x:v>0.1343476144109056</x:v>
      </x:c>
      <x:c r="C198" s="321"/>
      <x:c r="D198" s="321"/>
      <x:c r="E198" s="321"/>
      <x:c r="F198" s="321"/>
      <x:c r="G198" s="321"/>
    </x:row>
    <x:row r="199">
      <x:c r="A199" s="366" t="str">
        <x:v>Sale EV / revenue</x:v>
      </x:c>
      <x:c r="B199" s="473" t="n">
        <x:v>1</x:v>
      </x:c>
      <x:c r="C199" s="321"/>
      <x:c r="D199" s="321"/>
      <x:c r="E199" s="321"/>
      <x:c r="F199" s="321"/>
      <x:c r="G199" s="321"/>
    </x:row>
    <x:row r="200">
      <x:c r="A200" s="366" t="str">
        <x:v>Gross sale proceeds (£m)</x:v>
      </x:c>
      <x:c r="B200" s="470" t="n">
        <x:f>B193*B199</x:f>
        <x:v>290.7</x:v>
      </x:c>
      <x:c r="C200" s="321"/>
      <x:c r="D200" s="321"/>
      <x:c r="E200" s="321"/>
      <x:c r="F200" s="321"/>
      <x:c r="G200" s="321"/>
    </x:row>
    <x:row r="201">
      <x:c r="A201" s="366" t="str">
        <x:v>Proceeds leakage</x:v>
      </x:c>
      <x:c r="B201" s="367" t="n">
        <x:v>0.1</x:v>
      </x:c>
      <x:c r="C201" s="321"/>
      <x:c r="D201" s="321"/>
      <x:c r="E201" s="321"/>
      <x:c r="F201" s="321"/>
      <x:c r="G201" s="321"/>
    </x:row>
    <x:row r="202">
      <x:c r="A202" s="366" t="str">
        <x:v>Net sale proceeds (£m)</x:v>
      </x:c>
      <x:c r="B202" s="470" t="n">
        <x:f>B200*(1-B201)</x:f>
        <x:v>261.63</x:v>
      </x:c>
      <x:c r="C202" s="321"/>
      <x:c r="D202" s="321"/>
      <x:c r="E202" s="321"/>
      <x:c r="F202" s="321"/>
      <x:c r="G202" s="321"/>
    </x:row>
    <x:row r="203">
      <x:c r="A203" s="366" t="str">
        <x:v>Break-even sale EV / revenue</x:v>
      </x:c>
      <x:c r="B203" s="474" t="n">
        <x:f>($B$105-$B$249+$B$104)/($B$193*(1-$B$201))</x:f>
        <x:v>1.1322097486901377</x:v>
      </x:c>
      <x:c r="C203" s="321"/>
      <x:c r="D203" s="321"/>
      <x:c r="E203" s="321"/>
      <x:c r="F203" s="321"/>
      <x:c r="G203" s="321"/>
    </x:row>
    <x:row r="204">
      <x:c r="A204" s="370" t="str">
        <x:v>Transaction timing</x:v>
      </x:c>
      <x:c r="B204" s="475" t="str">
        <x:v>Immediate at valuation date</x:v>
      </x:c>
      <x:c r="C204" s="321"/>
      <x:c r="D204" s="321"/>
      <x:c r="E204" s="321"/>
      <x:c r="F204" s="321"/>
      <x:c r="G204" s="321"/>
    </x:row>
    <x:row r="205" ht="34" customHeight="1">
      <x:c r="A205" s="521" t="str">
        <x:v>The case sells only the £290.7m US operation and retains Other Products. The 10% proceeds allowance covers fees, separation, tax and working-capital adjustments.</x:v>
      </x:c>
      <x:c r="B205" s="521"/>
      <x:c r="C205" s="521"/>
      <x:c r="D205" s="521"/>
      <x:c r="E205" s="521"/>
      <x:c r="F205" s="521"/>
      <x:c r="G205" s="321"/>
    </x:row>
    <x:row r="206">
      <x:c r="A206" s="321"/>
      <x:c r="B206" s="321"/>
      <x:c r="C206" s="321"/>
      <x:c r="D206" s="321"/>
      <x:c r="E206" s="321"/>
      <x:c r="F206" s="321"/>
      <x:c r="G206" s="321"/>
    </x:row>
    <x:row r="207" ht="22" customHeight="1">
      <x:c r="A207" s="496" t="str">
        <x:v>Retained-business forecast assumptions</x:v>
      </x:c>
      <x:c r="B207" s="496"/>
      <x:c r="C207" s="496"/>
      <x:c r="D207" s="496"/>
      <x:c r="E207" s="496"/>
      <x:c r="F207" s="496"/>
      <x:c r="G207" s="321"/>
    </x:row>
    <x:row r="208" ht="20" customHeight="1">
      <x:c r="A208" s="497" t="str">
        <x:v>Assumption</x:v>
      </x:c>
      <x:c r="B208" s="498" t="str">
        <x:v>FY27E</x:v>
      </x:c>
      <x:c r="C208" s="498" t="str">
        <x:v>FY28E</x:v>
      </x:c>
      <x:c r="D208" s="498" t="str">
        <x:v>FY29E</x:v>
      </x:c>
      <x:c r="E208" s="498" t="str">
        <x:v>FY30E</x:v>
      </x:c>
      <x:c r="F208" s="498" t="str">
        <x:v>FY31E</x:v>
      </x:c>
      <x:c r="G208" s="321"/>
    </x:row>
    <x:row r="209">
      <x:c r="A209" s="321" t="str">
        <x:v>Other Products revenue growth</x:v>
      </x:c>
      <x:c r="B209" s="477" t="n">
        <x:v>0.05</x:v>
      </x:c>
      <x:c r="C209" s="477" t="n">
        <x:v>0.05</x:v>
      </x:c>
      <x:c r="D209" s="477" t="n">
        <x:v>0.04</x:v>
      </x:c>
      <x:c r="E209" s="477" t="n">
        <x:v>0.04</x:v>
      </x:c>
      <x:c r="F209" s="477" t="n">
        <x:v>0.03</x:v>
      </x:c>
      <x:c r="G209" s="321"/>
    </x:row>
    <x:row r="210">
      <x:c r="A210" s="321" t="str">
        <x:v>Other Products operating margin</x:v>
      </x:c>
      <x:c r="B210" s="477" t="n">
        <x:v>0.135</x:v>
      </x:c>
      <x:c r="C210" s="477" t="n">
        <x:v>0.14</x:v>
      </x:c>
      <x:c r="D210" s="477" t="n">
        <x:v>0.145</x:v>
      </x:c>
      <x:c r="E210" s="477" t="n">
        <x:v>0.145</x:v>
      </x:c>
      <x:c r="F210" s="477" t="n">
        <x:v>0.145</x:v>
      </x:c>
      <x:c r="G210" s="321"/>
    </x:row>
    <x:row r="211">
      <x:c r="A211" s="321" t="str">
        <x:v>Stranded overhead cost (£m)</x:v>
      </x:c>
      <x:c r="B211" s="478" t="n">
        <x:v>6</x:v>
      </x:c>
      <x:c r="C211" s="478" t="n">
        <x:v>4</x:v>
      </x:c>
      <x:c r="D211" s="478" t="n">
        <x:v>2</x:v>
      </x:c>
      <x:c r="E211" s="478" t="n">
        <x:v>0</x:v>
      </x:c>
      <x:c r="F211" s="478" t="n">
        <x:v>0</x:v>
      </x:c>
      <x:c r="G211" s="321"/>
    </x:row>
    <x:row r="212" ht="34" customHeight="1">
      <x:c r="A212" s="521" t="str">
        <x:v>EMEA assumptions are unchanged. Other Products growth tapers from 5% to 3%; stranded overhead is removed over three years rather than assumed to disappear immediately.</x:v>
      </x:c>
      <x:c r="B212" s="521"/>
      <x:c r="C212" s="521"/>
      <x:c r="D212" s="521"/>
      <x:c r="E212" s="521"/>
      <x:c r="F212" s="521"/>
      <x:c r="G212" s="321"/>
    </x:row>
    <x:row r="213">
      <x:c r="A213" s="321"/>
      <x:c r="B213" s="321"/>
      <x:c r="C213" s="321"/>
      <x:c r="D213" s="321"/>
      <x:c r="E213" s="321"/>
      <x:c r="F213" s="321"/>
      <x:c r="G213" s="321"/>
    </x:row>
    <x:row r="214" ht="22" customHeight="1">
      <x:c r="A214" s="496" t="str">
        <x:v>US disposal-case retained-business forecast</x:v>
      </x:c>
      <x:c r="B214" s="496"/>
      <x:c r="C214" s="496"/>
      <x:c r="D214" s="496"/>
      <x:c r="E214" s="496"/>
      <x:c r="F214" s="496"/>
      <x:c r="G214" s="496"/>
    </x:row>
    <x:row r="215" ht="20" customHeight="1">
      <x:c r="A215" s="497" t="str">
        <x:v>£m except percentages</x:v>
      </x:c>
      <x:c r="B215" s="498" t="str">
        <x:v>FY26A</x:v>
      </x:c>
      <x:c r="C215" s="498" t="str">
        <x:v>FY27E</x:v>
      </x:c>
      <x:c r="D215" s="498" t="str">
        <x:v>FY28E</x:v>
      </x:c>
      <x:c r="E215" s="498" t="str">
        <x:v>FY29E</x:v>
      </x:c>
      <x:c r="F215" s="498" t="str">
        <x:v>FY30E</x:v>
      </x:c>
      <x:c r="G215" s="498" t="str">
        <x:v>FY31E</x:v>
      </x:c>
    </x:row>
    <x:row r="216">
      <x:c r="A216" s="321" t="str">
        <x:v>EMEA Services revenue</x:v>
      </x:c>
      <x:c r="B216" s="377" t="n">
        <x:f>B15</x:f>
        <x:v>1529.2</x:v>
      </x:c>
      <x:c r="C216" s="377" t="n">
        <x:f>C15</x:f>
        <x:v>1605.66</x:v>
      </x:c>
      <x:c r="D216" s="377" t="n">
        <x:f>D15</x:f>
        <x:v>1685.9430000000002</x:v>
      </x:c>
      <x:c r="E216" s="377" t="n">
        <x:f>E15</x:f>
        <x:v>1761.810435</x:v>
      </x:c>
      <x:c r="F216" s="377" t="n">
        <x:f>F15</x:f>
        <x:v>1832.2828524000001</x:v>
      </x:c>
      <x:c r="G216" s="377" t="n">
        <x:f>G15</x:f>
        <x:v>1896.412752234</x:v>
      </x:c>
    </x:row>
    <x:row r="217">
      <x:c r="A217" s="321" t="str">
        <x:v>Other Products revenue</x:v>
      </x:c>
      <x:c r="B217" s="377" t="n">
        <x:f>$B$196</x:f>
        <x:v>102.69999999999999</x:v>
      </x:c>
      <x:c r="C217" s="377" t="n">
        <x:f>B217*(1+B209)</x:f>
        <x:v>107.835</x:v>
      </x:c>
      <x:c r="D217" s="377" t="n">
        <x:f>C217*(1+C209)</x:f>
        <x:v>113.22675</x:v>
      </x:c>
      <x:c r="E217" s="377" t="n">
        <x:f>D217*(1+D209)</x:f>
        <x:v>117.75582</x:v>
      </x:c>
      <x:c r="F217" s="377" t="n">
        <x:f>E217*(1+E209)</x:f>
        <x:v>122.4660528</x:v>
      </x:c>
      <x:c r="G217" s="377" t="n">
        <x:f>F217*(1+F209)</x:f>
        <x:v>126.140034384</x:v>
      </x:c>
    </x:row>
    <x:row r="218">
      <x:c r="A218" s="321" t="str">
        <x:v>Retained-business revenue</x:v>
      </x:c>
      <x:c r="B218" s="377" t="n">
        <x:f>B216+B217</x:f>
        <x:v>1631.9</x:v>
      </x:c>
      <x:c r="C218" s="377" t="n">
        <x:f>C216+C217</x:f>
        <x:v>1713.4950000000001</x:v>
      </x:c>
      <x:c r="D218" s="377" t="n">
        <x:f>D216+D217</x:f>
        <x:v>1799.1697500000002</x:v>
      </x:c>
      <x:c r="E218" s="377" t="n">
        <x:f>E216+E217</x:f>
        <x:v>1879.5662550000002</x:v>
      </x:c>
      <x:c r="F218" s="377" t="n">
        <x:f>F216+F217</x:f>
        <x:v>1954.7489052</x:v>
      </x:c>
      <x:c r="G218" s="377" t="n">
        <x:f>G216+G217</x:f>
        <x:v>2022.552786618</x:v>
      </x:c>
    </x:row>
    <x:row r="219">
      <x:c r="A219" s="321" t="str">
        <x:v>Retained-business revenue growth</x:v>
      </x:c>
      <x:c r="B219" s="321"/>
      <x:c r="C219" s="378" t="n">
        <x:f>C218/B218-1</x:f>
        <x:v>0.050000000000000044</x:v>
      </x:c>
      <x:c r="D219" s="378" t="n">
        <x:f>D218/C218-1</x:f>
        <x:v>0.050000000000000044</x:v>
      </x:c>
      <x:c r="E219" s="378" t="n">
        <x:f>E218/D218-1</x:f>
        <x:v>0.04468533611128134</x:v>
      </x:c>
      <x:c r="F219" s="378" t="n">
        <x:f>F218/E218-1</x:f>
        <x:v>0.040000000000000036</x:v>
      </x:c>
      <x:c r="G219" s="378" t="n">
        <x:f>G218/F218-1</x:f>
        <x:v>0.034686747355442415</x:v>
      </x:c>
    </x:row>
    <x:row r="220">
      <x:c r="A220" s="321" t="str"/>
      <x:c r="B220" s="321"/>
      <x:c r="C220" s="321"/>
      <x:c r="D220" s="321"/>
      <x:c r="E220" s="321"/>
      <x:c r="F220" s="321"/>
      <x:c r="G220" s="321"/>
    </x:row>
    <x:row r="221">
      <x:c r="A221" s="321" t="str">
        <x:v>EMEA Services operating profit</x:v>
      </x:c>
      <x:c r="B221" s="376" t="n">
        <x:f>Segments!H16</x:f>
        <x:v>182.3</x:v>
      </x:c>
      <x:c r="C221" s="377" t="n">
        <x:f>C20</x:f>
        <x:v>191.07354</x:v>
      </x:c>
      <x:c r="D221" s="377" t="n">
        <x:f>D20</x:f>
        <x:v>202.31316</x:v>
      </x:c>
      <x:c r="E221" s="377" t="n">
        <x:f>E20</x:f>
        <x:v>213.179062635</x:v>
      </x:c>
      <x:c r="F221" s="377" t="n">
        <x:f>F20</x:f>
        <x:v>221.70622514040002</x:v>
      </x:c>
      <x:c r="G221" s="377" t="n">
        <x:f>G20</x:f>
        <x:v>227.56953026808</x:v>
      </x:c>
    </x:row>
    <x:row r="222">
      <x:c r="A222" s="321" t="str">
        <x:v>Other Products operating profit</x:v>
      </x:c>
      <x:c r="B222" s="377" t="n">
        <x:f>$B$197</x:f>
        <x:v>13.797500000000003</x:v>
      </x:c>
      <x:c r="C222" s="377" t="n">
        <x:f>C217*B210</x:f>
        <x:v>14.557725</x:v>
      </x:c>
      <x:c r="D222" s="377" t="n">
        <x:f>D217*C210</x:f>
        <x:v>15.851745000000001</x:v>
      </x:c>
      <x:c r="E222" s="377" t="n">
        <x:f>E217*D210</x:f>
        <x:v>17.0745939</x:v>
      </x:c>
      <x:c r="F222" s="377" t="n">
        <x:f>F217*E210</x:f>
        <x:v>17.757577656</x:v>
      </x:c>
      <x:c r="G222" s="377" t="n">
        <x:f>G217*F210</x:f>
        <x:v>18.29030498568</x:v>
      </x:c>
    </x:row>
    <x:row r="223">
      <x:c r="A223" s="321" t="str">
        <x:v>Less: stranded overhead</x:v>
      </x:c>
      <x:c r="B223" s="377" t="n">
        <x:f>0</x:f>
        <x:v>0</x:v>
      </x:c>
      <x:c r="C223" s="377" t="n">
        <x:f>-B211</x:f>
        <x:v>-6</x:v>
      </x:c>
      <x:c r="D223" s="377" t="n">
        <x:f>-C211</x:f>
        <x:v>-4</x:v>
      </x:c>
      <x:c r="E223" s="377" t="n">
        <x:f>-D211</x:f>
        <x:v>-2</x:v>
      </x:c>
      <x:c r="F223" s="377" t="n">
        <x:f>-E211</x:f>
        <x:v>0</x:v>
      </x:c>
      <x:c r="G223" s="377" t="n">
        <x:f>-F211</x:f>
        <x:v>0</x:v>
      </x:c>
    </x:row>
    <x:row r="224">
      <x:c r="A224" s="321" t="str">
        <x:v>Retained-business EBIT</x:v>
      </x:c>
      <x:c r="B224" s="377" t="n">
        <x:f>SUM(B221:B223)</x:f>
        <x:v>196.09750000000003</x:v>
      </x:c>
      <x:c r="C224" s="377" t="n">
        <x:f>SUM(C221:C223)</x:f>
        <x:v>199.631265</x:v>
      </x:c>
      <x:c r="D224" s="377" t="n">
        <x:f>SUM(D221:D223)</x:f>
        <x:v>214.164905</x:v>
      </x:c>
      <x:c r="E224" s="377" t="n">
        <x:f>SUM(E221:E223)</x:f>
        <x:v>228.253656535</x:v>
      </x:c>
      <x:c r="F224" s="377" t="n">
        <x:f>SUM(F221:F223)</x:f>
        <x:v>239.46380279640002</x:v>
      </x:c>
      <x:c r="G224" s="377" t="n">
        <x:f>SUM(G221:G223)</x:f>
        <x:v>245.85983525376</x:v>
      </x:c>
    </x:row>
    <x:row r="225">
      <x:c r="A225" s="321" t="str">
        <x:v>Retained-business operating margin</x:v>
      </x:c>
      <x:c r="B225" s="378" t="n">
        <x:f>B224/B218</x:f>
        <x:v>0.12016514492309578</x:v>
      </x:c>
      <x:c r="C225" s="378" t="n">
        <x:f>C224/C218</x:f>
        <x:v>0.11650530932392567</x:v>
      </x:c>
      <x:c r="D225" s="378" t="n">
        <x:f>D224/D218</x:f>
        <x:v>0.11903540785965303</x:v>
      </x:c>
      <x:c r="E225" s="378" t="n">
        <x:f>E224/E218</x:f>
        <x:v>0.12143953740806013</x:v>
      </x:c>
      <x:c r="F225" s="378" t="n">
        <x:f>F224/F218</x:f>
        <x:v>0.12250361269387655</x:v>
      </x:c>
      <x:c r="G225" s="378" t="n">
        <x:f>G224/G218</x:f>
        <x:v>0.12155916863108088</x:v>
      </x:c>
    </x:row>
    <x:row r="226">
      <x:c r="A226" s="321"/>
      <x:c r="B226" s="321"/>
      <x:c r="C226" s="321"/>
      <x:c r="D226" s="321"/>
      <x:c r="E226" s="321"/>
      <x:c r="F226" s="321"/>
      <x:c r="G226" s="321"/>
    </x:row>
    <x:row r="227">
      <x:c r="A227" s="321"/>
      <x:c r="B227" s="321"/>
      <x:c r="C227" s="321"/>
      <x:c r="D227" s="321"/>
      <x:c r="E227" s="321"/>
      <x:c r="F227" s="321"/>
      <x:c r="G227" s="321"/>
    </x:row>
    <x:row r="228" ht="22" customHeight="1">
      <x:c r="A228" s="496" t="str">
        <x:v>US disposal-case unlevered free cash flow</x:v>
      </x:c>
      <x:c r="B228" s="496"/>
      <x:c r="C228" s="496"/>
      <x:c r="D228" s="496"/>
      <x:c r="E228" s="496"/>
      <x:c r="F228" s="496"/>
      <x:c r="G228" s="321"/>
    </x:row>
    <x:row r="229" ht="20" customHeight="1">
      <x:c r="A229" s="497" t="str">
        <x:v>£m except percentages</x:v>
      </x:c>
      <x:c r="B229" s="498" t="str">
        <x:v>FY27E</x:v>
      </x:c>
      <x:c r="C229" s="498" t="str">
        <x:v>FY28E</x:v>
      </x:c>
      <x:c r="D229" s="498" t="str">
        <x:v>FY29E</x:v>
      </x:c>
      <x:c r="E229" s="498" t="str">
        <x:v>FY30E</x:v>
      </x:c>
      <x:c r="F229" s="498" t="str">
        <x:v>FY31E</x:v>
      </x:c>
      <x:c r="G229" s="321"/>
    </x:row>
    <x:row r="230">
      <x:c r="A230" s="321" t="str">
        <x:v>Revenue</x:v>
      </x:c>
      <x:c r="B230" s="377" t="n">
        <x:f>C218</x:f>
        <x:v>1713.4950000000001</x:v>
      </x:c>
      <x:c r="C230" s="377" t="n">
        <x:f>D218</x:f>
        <x:v>1799.1697500000002</x:v>
      </x:c>
      <x:c r="D230" s="377" t="n">
        <x:f>E218</x:f>
        <x:v>1879.5662550000002</x:v>
      </x:c>
      <x:c r="E230" s="377" t="n">
        <x:f>F218</x:f>
        <x:v>1954.7489052</x:v>
      </x:c>
      <x:c r="F230" s="377" t="n">
        <x:f>G218</x:f>
        <x:v>2022.552786618</x:v>
      </x:c>
      <x:c r="G230" s="321"/>
    </x:row>
    <x:row r="231">
      <x:c r="A231" s="321" t="str">
        <x:v>EBIT</x:v>
      </x:c>
      <x:c r="B231" s="377" t="n">
        <x:f>C224</x:f>
        <x:v>199.631265</x:v>
      </x:c>
      <x:c r="C231" s="377" t="n">
        <x:f>D224</x:f>
        <x:v>214.164905</x:v>
      </x:c>
      <x:c r="D231" s="377" t="n">
        <x:f>E224</x:f>
        <x:v>228.253656535</x:v>
      </x:c>
      <x:c r="E231" s="377" t="n">
        <x:f>F224</x:f>
        <x:v>239.46380279640002</x:v>
      </x:c>
      <x:c r="F231" s="377" t="n">
        <x:f>G224</x:f>
        <x:v>245.85983525376</x:v>
      </x:c>
      <x:c r="G231" s="321"/>
    </x:row>
    <x:row r="232">
      <x:c r="A232" s="321" t="str">
        <x:v>Cash tax rate</x:v>
      </x:c>
      <x:c r="B232" s="378" t="n">
        <x:f>B45</x:f>
        <x:v>0.265</x:v>
      </x:c>
      <x:c r="C232" s="378" t="n">
        <x:f>C45</x:f>
        <x:v>0.265</x:v>
      </x:c>
      <x:c r="D232" s="378" t="n">
        <x:f>D45</x:f>
        <x:v>0.265</x:v>
      </x:c>
      <x:c r="E232" s="378" t="n">
        <x:f>E45</x:f>
        <x:v>0.265</x:v>
      </x:c>
      <x:c r="F232" s="378" t="n">
        <x:f>F45</x:f>
        <x:v>0.265</x:v>
      </x:c>
      <x:c r="G232" s="321"/>
    </x:row>
    <x:row r="233">
      <x:c r="A233" s="321" t="str">
        <x:v>NOPAT</x:v>
      </x:c>
      <x:c r="B233" s="377" t="n">
        <x:f>B231*(1-B232)</x:f>
        <x:v>146.728979775</x:v>
      </x:c>
      <x:c r="C233" s="377" t="n">
        <x:f>C231*(1-C232)</x:f>
        <x:v>157.411205175</x:v>
      </x:c>
      <x:c r="D233" s="377" t="n">
        <x:f>D231*(1-D232)</x:f>
        <x:v>167.766437553225</x:v>
      </x:c>
      <x:c r="E233" s="377" t="n">
        <x:f>E231*(1-E232)</x:f>
        <x:v>176.00589505535402</x:v>
      </x:c>
      <x:c r="F233" s="377" t="n">
        <x:f>F231*(1-F232)</x:f>
        <x:v>180.7069789115136</x:v>
      </x:c>
      <x:c r="G233" s="321"/>
    </x:row>
    <x:row r="234">
      <x:c r="A234" s="321" t="str">
        <x:v>D&amp;A</x:v>
      </x:c>
      <x:c r="B234" s="377" t="n">
        <x:f>B230*B46</x:f>
        <x:v>85.67475000000002</x:v>
      </x:c>
      <x:c r="C234" s="377" t="n">
        <x:f>C230*C46</x:f>
        <x:v>89.95848750000002</x:v>
      </x:c>
      <x:c r="D234" s="377" t="n">
        <x:f>D230*D46</x:f>
        <x:v>93.97831275000001</x:v>
      </x:c>
      <x:c r="E234" s="377" t="n">
        <x:f>E230*E46</x:f>
        <x:v>97.73744526000002</x:v>
      </x:c>
      <x:c r="F234" s="377" t="n">
        <x:f>F230*F46</x:f>
        <x:v>101.12763933090001</x:v>
      </x:c>
      <x:c r="G234" s="321"/>
    </x:row>
    <x:row r="235">
      <x:c r="A235" s="321" t="str">
        <x:v>CapEx</x:v>
      </x:c>
      <x:c r="B235" s="377" t="n">
        <x:f>-B230*B47</x:f>
        <x:v>-77.107275</x:v>
      </x:c>
      <x:c r="C235" s="377" t="n">
        <x:f>-C230*C47</x:f>
        <x:v>-80.96263875000001</x:v>
      </x:c>
      <x:c r="D235" s="377" t="n">
        <x:f>-D230*D47</x:f>
        <x:v>-84.580481475</x:v>
      </x:c>
      <x:c r="E235" s="377" t="n">
        <x:f>-E230*E47</x:f>
        <x:v>-87.963700734</x:v>
      </x:c>
      <x:c r="F235" s="377" t="n">
        <x:f>-F230*F47</x:f>
        <x:v>-91.01487539781</x:v>
      </x:c>
      <x:c r="G235" s="321"/>
    </x:row>
    <x:row r="236">
      <x:c r="A236" s="321" t="str">
        <x:v>Change in NWC</x:v>
      </x:c>
      <x:c r="B236" s="377" t="n">
        <x:f>-(B230-$B$218)*B48</x:f>
        <x:v>-0.8159500000000003</x:v>
      </x:c>
      <x:c r="C236" s="377" t="n">
        <x:f>-(C230-B230)*C48</x:f>
        <x:v>-0.8567475000000013</x:v>
      </x:c>
      <x:c r="D236" s="377" t="n">
        <x:f>-(D230-C230)*D48</x:f>
        <x:v>-0.8039650499999994</x:v>
      </x:c>
      <x:c r="E236" s="377" t="n">
        <x:f>-(E230-D230)*E48</x:f>
        <x:v>-0.751826501999999</x:v>
      </x:c>
      <x:c r="F236" s="377" t="n">
        <x:f>-(F230-E230)*F48</x:f>
        <x:v>-0.6780388141799994</x:v>
      </x:c>
      <x:c r="G236" s="321"/>
    </x:row>
    <x:row r="237">
      <x:c r="A237" s="500" t="str">
        <x:v>UFCF</x:v>
      </x:c>
      <x:c r="B237" s="501" t="n">
        <x:f>SUM(B233:B236)</x:f>
        <x:v>154.48050477500004</x:v>
      </x:c>
      <x:c r="C237" s="501" t="n">
        <x:f>SUM(C233:C236)</x:f>
        <x:v>165.550306425</x:v>
      </x:c>
      <x:c r="D237" s="501" t="n">
        <x:f>SUM(D233:D236)</x:f>
        <x:v>176.36030377822505</x:v>
      </x:c>
      <x:c r="E237" s="501" t="n">
        <x:f>SUM(E233:E236)</x:f>
        <x:v>185.02781307935405</x:v>
      </x:c>
      <x:c r="F237" s="501" t="n">
        <x:f>SUM(F233:F236)</x:f>
        <x:v>190.14170403042363</x:v>
      </x:c>
      <x:c r="G237" s="321"/>
    </x:row>
    <x:row r="238">
      <x:c r="A238" s="321"/>
      <x:c r="B238" s="321"/>
      <x:c r="C238" s="321"/>
      <x:c r="D238" s="321"/>
      <x:c r="E238" s="321"/>
      <x:c r="F238" s="321"/>
      <x:c r="G238" s="321"/>
    </x:row>
    <x:row r="239" ht="22" customHeight="1">
      <x:c r="A239" s="496" t="str">
        <x:v>US disposal-case DCF valuation</x:v>
      </x:c>
      <x:c r="B239" s="496"/>
      <x:c r="C239" s="496"/>
      <x:c r="D239" s="496"/>
      <x:c r="E239" s="496"/>
      <x:c r="F239" s="496"/>
      <x:c r="G239" s="321"/>
    </x:row>
    <x:row r="240" ht="20" customHeight="1">
      <x:c r="A240" s="497" t="str">
        <x:v>£m except per-share data</x:v>
      </x:c>
      <x:c r="B240" s="498" t="str">
        <x:v>FY27E</x:v>
      </x:c>
      <x:c r="C240" s="498" t="str">
        <x:v>FY28E</x:v>
      </x:c>
      <x:c r="D240" s="498" t="str">
        <x:v>FY29E</x:v>
      </x:c>
      <x:c r="E240" s="498" t="str">
        <x:v>FY30E</x:v>
      </x:c>
      <x:c r="F240" s="498" t="str">
        <x:v>FY31E</x:v>
      </x:c>
      <x:c r="G240" s="321"/>
    </x:row>
    <x:row r="241">
      <x:c r="A241" s="321" t="str">
        <x:v>UFCF</x:v>
      </x:c>
      <x:c r="B241" s="377" t="n">
        <x:f>B237</x:f>
        <x:v>154.48050477500004</x:v>
      </x:c>
      <x:c r="C241" s="377" t="n">
        <x:f>C237</x:f>
        <x:v>165.550306425</x:v>
      </x:c>
      <x:c r="D241" s="377" t="n">
        <x:f>D237</x:f>
        <x:v>176.36030377822505</x:v>
      </x:c>
      <x:c r="E241" s="377" t="n">
        <x:f>E237</x:f>
        <x:v>185.02781307935405</x:v>
      </x:c>
      <x:c r="F241" s="377" t="n">
        <x:f>F237</x:f>
        <x:v>190.14170403042363</x:v>
      </x:c>
      <x:c r="G241" s="321"/>
    </x:row>
    <x:row r="242">
      <x:c r="A242" s="321" t="str">
        <x:v>Discount period</x:v>
      </x:c>
      <x:c r="B242" s="381" t="n">
        <x:f>B96</x:f>
        <x:v>0.5</x:v>
      </x:c>
      <x:c r="C242" s="381" t="n">
        <x:f>C96</x:f>
        <x:v>1.5</x:v>
      </x:c>
      <x:c r="D242" s="381" t="n">
        <x:f>D96</x:f>
        <x:v>2.5</x:v>
      </x:c>
      <x:c r="E242" s="381" t="n">
        <x:f>E96</x:f>
        <x:v>3.5</x:v>
      </x:c>
      <x:c r="F242" s="381" t="n">
        <x:f>F96</x:f>
        <x:v>4.5</x:v>
      </x:c>
      <x:c r="G242" s="321"/>
    </x:row>
    <x:row r="243">
      <x:c r="A243" s="321" t="str">
        <x:v>Discount factor</x:v>
      </x:c>
      <x:c r="B243" s="381" t="n">
        <x:f>1/(1+$B$83)^B242</x:f>
        <x:v>0.9596329968646349</x:v>
      </x:c>
      <x:c r="C243" s="381" t="n">
        <x:f>1/(1+$B$83)^C242</x:f>
        <x:v>0.883721697592858</x:v>
      </x:c>
      <x:c r="D243" s="381" t="n">
        <x:f>1/(1+$B$83)^D242</x:f>
        <x:v>0.8138153245542943</x:v>
      </x:c>
      <x:c r="E243" s="381" t="n">
        <x:f>1/(1+$B$83)^E242</x:f>
        <x:v>0.7494388609937009</x:v>
      </x:c>
      <x:c r="F243" s="381" t="n">
        <x:f>1/(1+$B$83)^F242</x:f>
        <x:v>0.6901548661241318</x:v>
      </x:c>
      <x:c r="G243" s="321"/>
    </x:row>
    <x:row r="244">
      <x:c r="A244" s="321" t="str">
        <x:v>Present value of UFCF</x:v>
      </x:c>
      <x:c r="B244" s="377" t="n">
        <x:f>B241*B243</x:f>
        <x:v>148.24458975439484</x:v>
      </x:c>
      <x:c r="C244" s="377" t="n">
        <x:f>C241*C243</x:f>
        <x:v>146.30039783091883</x:v>
      </x:c>
      <x:c r="D244" s="377" t="n">
        <x:f>D241*D243</x:f>
        <x:v>143.52471785777016</x:v>
      </x:c>
      <x:c r="E244" s="377" t="n">
        <x:f>E241*E243</x:f>
        <x:v>138.6670334863465</x:v>
      </x:c>
      <x:c r="F244" s="377" t="n">
        <x:f>F241*F243</x:f>
        <x:v>131.22722228973132</x:v>
      </x:c>
      <x:c r="G244" s="321"/>
    </x:row>
    <x:row r="245">
      <x:c r="A245" s="321" t="str"/>
      <x:c r="B245" s="321"/>
      <x:c r="C245" s="321"/>
      <x:c r="D245" s="321"/>
      <x:c r="E245" s="321"/>
      <x:c r="F245" s="321"/>
      <x:c r="G245" s="321"/>
    </x:row>
    <x:row r="246">
      <x:c r="A246" s="321" t="str">
        <x:v>PV of explicit-period UFCF</x:v>
      </x:c>
      <x:c r="B246" s="377" t="n">
        <x:f>SUM(B244:F244)</x:f>
        <x:v>707.9639612191617</x:v>
      </x:c>
      <x:c r="C246" s="321"/>
      <x:c r="D246" s="321"/>
      <x:c r="E246" s="321"/>
      <x:c r="F246" s="321"/>
      <x:c r="G246" s="321"/>
    </x:row>
    <x:row r="247">
      <x:c r="A247" s="321" t="str">
        <x:v>Terminal value</x:v>
      </x:c>
      <x:c r="B247" s="377" t="n">
        <x:f>F241*(1+$B$88)/($B$83-$B$88)</x:f>
        <x:v>2943.032656665331</x:v>
      </x:c>
      <x:c r="C247" s="321"/>
      <x:c r="D247" s="321"/>
      <x:c r="E247" s="321"/>
      <x:c r="F247" s="321"/>
      <x:c r="G247" s="321"/>
    </x:row>
    <x:row r="248">
      <x:c r="A248" s="321" t="str">
        <x:v>PV of terminal value</x:v>
      </x:c>
      <x:c r="B248" s="377" t="n">
        <x:f>B247*F243</x:f>
        <x:v>2031.1483091598095</x:v>
      </x:c>
      <x:c r="C248" s="321"/>
      <x:c r="D248" s="321"/>
      <x:c r="E248" s="321"/>
      <x:c r="F248" s="321"/>
      <x:c r="G248" s="321"/>
    </x:row>
    <x:row r="249">
      <x:c r="A249" s="500" t="str">
        <x:v>Retained-business enterprise value</x:v>
      </x:c>
      <x:c r="B249" s="501" t="n">
        <x:f>B246+B248</x:f>
        <x:v>2739.112270378971</x:v>
      </x:c>
      <x:c r="C249" s="321"/>
      <x:c r="D249" s="321"/>
      <x:c r="E249" s="321"/>
      <x:c r="F249" s="321"/>
      <x:c r="G249" s="321"/>
    </x:row>
    <x:row r="250">
      <x:c r="A250" s="321" t="str">
        <x:v>Add: net sale proceeds</x:v>
      </x:c>
      <x:c r="B250" s="377" t="n">
        <x:f>$B$202</x:f>
        <x:v>261.63</x:v>
      </x:c>
      <x:c r="C250" s="321"/>
      <x:c r="D250" s="321"/>
      <x:c r="E250" s="321"/>
      <x:c r="F250" s="321"/>
      <x:c r="G250" s="321"/>
    </x:row>
    <x:row r="251">
      <x:c r="A251" s="321" t="str">
        <x:v>Value before net debt</x:v>
      </x:c>
      <x:c r="B251" s="377" t="n">
        <x:f>B249+B250</x:f>
        <x:v>3000.742270378971</x:v>
      </x:c>
      <x:c r="C251" s="321"/>
      <x:c r="D251" s="321"/>
      <x:c r="E251" s="321"/>
      <x:c r="F251" s="321"/>
      <x:c r="G251" s="321"/>
    </x:row>
    <x:row r="252">
      <x:c r="A252" s="321" t="str">
        <x:v>Less: group net debt</x:v>
      </x:c>
      <x:c r="B252" s="377" t="n">
        <x:f>$B$104</x:f>
        <x:v>159.1</x:v>
      </x:c>
      <x:c r="C252" s="321"/>
      <x:c r="D252" s="321"/>
      <x:c r="E252" s="321"/>
      <x:c r="F252" s="321"/>
      <x:c r="G252" s="321"/>
    </x:row>
    <x:row r="253">
      <x:c r="A253" s="500" t="str">
        <x:v>Equity value</x:v>
      </x:c>
      <x:c r="B253" s="501" t="n">
        <x:f>B251-B252</x:f>
        <x:v>2841.6422703789713</x:v>
      </x:c>
      <x:c r="C253" s="321"/>
      <x:c r="D253" s="321"/>
      <x:c r="E253" s="321"/>
      <x:c r="F253" s="321"/>
      <x:c r="G253" s="321"/>
    </x:row>
    <x:row r="254">
      <x:c r="A254" s="321" t="str">
        <x:v>Diluted shares (m)</x:v>
      </x:c>
      <x:c r="B254" s="377" t="n">
        <x:f>$B$106</x:f>
        <x:v>522.1</x:v>
      </x:c>
      <x:c r="C254" s="321"/>
      <x:c r="D254" s="321"/>
      <x:c r="E254" s="321"/>
      <x:c r="F254" s="321"/>
      <x:c r="G254" s="321"/>
    </x:row>
    <x:row r="255">
      <x:c r="A255" s="500" t="str">
        <x:v>Implied value per share (£)</x:v>
      </x:c>
      <x:c r="B255" s="502" t="n">
        <x:f>B253/B254</x:f>
        <x:v>5.442716472666101</x:v>
      </x:c>
      <x:c r="C255" s="321"/>
      <x:c r="D255" s="321"/>
      <x:c r="E255" s="321"/>
      <x:c r="F255" s="321"/>
      <x:c r="G255" s="321"/>
    </x:row>
    <x:row r="256">
      <x:c r="A256" s="321" t="str">
        <x:v>Difference vs base (£/share)</x:v>
      </x:c>
      <x:c r="B256" s="383" t="n">
        <x:f>B255-$B$107</x:f>
        <x:v>-0.06625174592951666</x:v>
      </x:c>
      <x:c r="C256" s="321"/>
      <x:c r="D256" s="321"/>
      <x:c r="E256" s="321"/>
      <x:c r="F256" s="321"/>
      <x:c r="G256" s="321"/>
    </x:row>
    <x:row r="257">
      <x:c r="A257" s="321" t="str">
        <x:v>Change vs base</x:v>
      </x:c>
      <x:c r="B257" s="378" t="n">
        <x:f>B255/$B$107-1</x:f>
        <x:v>-0.012026162304927257</x:v>
      </x:c>
      <x:c r="C257" s="321"/>
      <x:c r="D257" s="321"/>
      <x:c r="E257" s="321"/>
      <x:c r="F257" s="321"/>
      <x:c r="G257" s="321"/>
    </x:row>
    <x:row r="258">
      <x:c r="A258" s="321" t="str">
        <x:v>Terminal value / retained-business EV</x:v>
      </x:c>
      <x:c r="B258" s="378" t="n">
        <x:f>B248/B249</x:f>
        <x:v>0.7415352525432589</x:v>
      </x:c>
      <x:c r="C258" s="321"/>
      <x:c r="D258" s="321"/>
      <x:c r="E258" s="321"/>
      <x:c r="F258" s="321"/>
      <x:c r="G258" s="321"/>
    </x:row>
    <x:row r="259">
      <x:c r="A259" s="321"/>
      <x:c r="B259" s="321"/>
      <x:c r="C259" s="321"/>
      <x:c r="D259" s="321"/>
      <x:c r="E259" s="321"/>
      <x:c r="F259" s="321"/>
      <x:c r="G259" s="321"/>
    </x:row>
    <x:row r="260" ht="22" customHeight="1">
      <x:c r="A260" s="496" t="str">
        <x:v>US sale-multiple sensitivity</x:v>
      </x:c>
      <x:c r="B260" s="496"/>
      <x:c r="C260" s="496"/>
      <x:c r="D260" s="496"/>
      <x:c r="E260" s="496"/>
      <x:c r="F260" s="321"/>
      <x:c r="G260" s="321"/>
    </x:row>
    <x:row r="261" ht="20" customHeight="1">
      <x:c r="A261" s="497" t="str">
        <x:v>Sale multiple</x:v>
      </x:c>
      <x:c r="B261" s="498" t="str">
        <x:v>Gross proceeds</x:v>
      </x:c>
      <x:c r="C261" s="498" t="str">
        <x:v>Net proceeds</x:v>
      </x:c>
      <x:c r="D261" s="498" t="str">
        <x:v>Value / share</x:v>
      </x:c>
      <x:c r="E261" s="498" t="str">
        <x:v>Vs base</x:v>
      </x:c>
      <x:c r="F261" s="321"/>
      <x:c r="G261" s="321"/>
    </x:row>
    <x:row r="262">
      <x:c r="A262" s="482" t="n">
        <x:v>0.75</x:v>
      </x:c>
      <x:c r="B262" s="386" t="n">
        <x:f>$B$193*A262</x:f>
        <x:v>218.02499999999998</x:v>
      </x:c>
      <x:c r="C262" s="386" t="n">
        <x:f>B262*(1-$B$201)</x:f>
        <x:v>196.2225</x:v>
      </x:c>
      <x:c r="D262" s="483" t="n">
        <x:f>($B$249+C262-$B$104)/$B$106</x:f>
        <x:v>5.317438748092264</x:v>
      </x:c>
      <x:c r="E262" s="483" t="n">
        <x:f>D262-$B$107</x:f>
        <x:v>-0.19152947050335367</x:v>
      </x:c>
      <x:c r="F262" s="321"/>
      <x:c r="G262" s="321"/>
    </x:row>
    <x:row r="263">
      <x:c r="A263" s="482" t="n">
        <x:v>0.875</x:v>
      </x:c>
      <x:c r="B263" s="386" t="n">
        <x:f>$B$193*A263</x:f>
        <x:v>254.36249999999998</x:v>
      </x:c>
      <x:c r="C263" s="386" t="n">
        <x:f>B263*(1-$B$201)</x:f>
        <x:v>228.92624999999998</x:v>
      </x:c>
      <x:c r="D263" s="483" t="n">
        <x:f>($B$249+C263-$B$104)/$B$106</x:f>
        <x:v>5.380077610379182</x:v>
      </x:c>
      <x:c r="E263" s="483" t="n">
        <x:f>D263-$B$107</x:f>
        <x:v>-0.1288906082164356</x:v>
      </x:c>
      <x:c r="F263" s="321"/>
      <x:c r="G263" s="321"/>
    </x:row>
    <x:row r="264">
      <x:c r="A264" s="505" t="n">
        <x:v>1</x:v>
      </x:c>
      <x:c r="B264" s="506" t="n">
        <x:f>$B$193*A264</x:f>
        <x:v>290.7</x:v>
      </x:c>
      <x:c r="C264" s="506" t="n">
        <x:f>B264*(1-$B$201)</x:f>
        <x:v>261.63</x:v>
      </x:c>
      <x:c r="D264" s="507" t="n">
        <x:f>($B$249+C264-$B$104)/$B$106</x:f>
        <x:v>5.442716472666101</x:v>
      </x:c>
      <x:c r="E264" s="507" t="n">
        <x:f>D264-$B$107</x:f>
        <x:v>-0.06625174592951666</x:v>
      </x:c>
      <x:c r="F264" s="321"/>
      <x:c r="G264" s="321"/>
    </x:row>
    <x:row r="265">
      <x:c r="A265" s="482" t="n">
        <x:v>1.125</x:v>
      </x:c>
      <x:c r="B265" s="386" t="n">
        <x:f>$B$193*A265</x:f>
        <x:v>327.03749999999997</x:v>
      </x:c>
      <x:c r="C265" s="386" t="n">
        <x:f>B265*(1-$B$201)</x:f>
        <x:v>294.33374999999995</x:v>
      </x:c>
      <x:c r="D265" s="483" t="n">
        <x:f>($B$249+C265-$B$104)/$B$106</x:f>
        <x:v>5.505355334953018</x:v>
      </x:c>
      <x:c r="E265" s="483" t="n">
        <x:f>D265-$B$107</x:f>
        <x:v>-0.003612883642599485</x:v>
      </x:c>
      <x:c r="F265" s="321"/>
      <x:c r="G265" s="321"/>
    </x:row>
    <x:row r="266">
      <x:c r="A266" s="487" t="n">
        <x:v>1.25</x:v>
      </x:c>
      <x:c r="B266" s="488" t="n">
        <x:f>$B$193*A266</x:f>
        <x:v>363.375</x:v>
      </x:c>
      <x:c r="C266" s="488" t="n">
        <x:f>B266*(1-$B$201)</x:f>
        <x:v>327.0375</x:v>
      </x:c>
      <x:c r="D266" s="389" t="n">
        <x:f>($B$249+C266-$B$104)/$B$106</x:f>
        <x:v>5.567994197239937</x:v>
      </x:c>
      <x:c r="E266" s="389" t="n">
        <x:f>D266-$B$107</x:f>
        <x:v>0.059025978644319466</x:v>
      </x:c>
      <x:c r="F266" s="321"/>
      <x:c r="G266" s="321"/>
    </x:row>
    <x:row r="267">
      <x:c r="A267" s="321"/>
      <x:c r="B267" s="321"/>
      <x:c r="C267" s="321"/>
      <x:c r="D267" s="321"/>
      <x:c r="E267" s="321"/>
      <x:c r="F267" s="321"/>
      <x:c r="G267" s="321"/>
    </x:row>
    <x:row r="268" ht="34" customHeight="1">
      <x:c r="A268" s="521" t="str">
        <x:v>Break-even: approximately 1.13x FY26 US revenue after the 10% proceeds allowance. Below this multiple, disposal is worth less than the base case.</x:v>
      </x:c>
      <x:c r="B268" s="521"/>
      <x:c r="C268" s="521"/>
      <x:c r="D268" s="521"/>
      <x:c r="E268" s="521"/>
      <x:c r="F268" s="521"/>
      <x:c r="G268" s="321"/>
    </x:row>
    <x:row r="269">
      <x:c r="A269" s="321"/>
      <x:c r="B269" s="321"/>
      <x:c r="C269" s="321"/>
      <x:c r="D269" s="321"/>
      <x:c r="E269" s="321"/>
      <x:c r="F269" s="321"/>
      <x:c r="G269" s="321"/>
    </x:row>
    <x:row r="270" ht="22" customHeight="1">
      <x:c r="A270" s="496" t="str">
        <x:v>Strategic alternatives comparison</x:v>
      </x:c>
      <x:c r="B270" s="496"/>
      <x:c r="C270" s="496"/>
      <x:c r="D270" s="496"/>
      <x:c r="E270" s="321"/>
      <x:c r="F270" s="321"/>
      <x:c r="G270" s="321"/>
    </x:row>
    <x:row r="271" ht="20" customHeight="1">
      <x:c r="A271" s="497" t="str">
        <x:v>Metric</x:v>
      </x:c>
      <x:c r="B271" s="498" t="str">
        <x:v>Base case</x:v>
      </x:c>
      <x:c r="C271" s="498" t="str">
        <x:v>Restructuring</x:v>
      </x:c>
      <x:c r="D271" s="498" t="str">
        <x:v>US disposal</x:v>
      </x:c>
      <x:c r="E271" s="321"/>
      <x:c r="F271" s="321"/>
      <x:c r="G271" s="321"/>
    </x:row>
    <x:row r="272">
      <x:c r="A272" s="366" t="str">
        <x:v>FY27 UFCF (£m)</x:v>
      </x:c>
      <x:c r="B272" s="514" t="n">
        <x:f>B61</x:f>
        <x:v>174.2474169</x:v>
      </x:c>
      <x:c r="C272" s="506" t="n">
        <x:f>B157</x:f>
        <x:v>159.54215990000003</x:v>
      </x:c>
      <x:c r="D272" s="518" t="n">
        <x:f>B237</x:f>
        <x:v>154.48050477500004</x:v>
      </x:c>
      <x:c r="E272" s="321"/>
      <x:c r="F272" s="321"/>
      <x:c r="G272" s="321"/>
    </x:row>
    <x:row r="273">
      <x:c r="A273" s="366" t="str">
        <x:v>FY31 UFCF (£m)</x:v>
      </x:c>
      <x:c r="B273" s="514" t="n">
        <x:f>F61</x:f>
        <x:v>210.3970536036348</x:v>
      </x:c>
      <x:c r="C273" s="506" t="n">
        <x:f>F157</x:f>
        <x:v>212.76093888766079</x:v>
      </x:c>
      <x:c r="D273" s="518" t="n">
        <x:f>F237</x:f>
        <x:v>190.14170403042363</x:v>
      </x:c>
      <x:c r="E273" s="321"/>
      <x:c r="F273" s="321"/>
      <x:c r="G273" s="321"/>
    </x:row>
    <x:row r="274">
      <x:c r="A274" s="366" t="str">
        <x:v>PV of explicit UFCF (£m)</x:v>
      </x:c>
      <x:c r="B274" s="514" t="n">
        <x:f>B100</x:f>
        <x:v>787.8105343730214</x:v>
      </x:c>
      <x:c r="C274" s="506" t="n">
        <x:f>B166</x:f>
        <x:v>768.0879593823954</x:v>
      </x:c>
      <x:c r="D274" s="518" t="n">
        <x:f>B246</x:f>
        <x:v>707.9639612191617</x:v>
      </x:c>
      <x:c r="E274" s="321"/>
      <x:c r="F274" s="321"/>
      <x:c r="G274" s="321"/>
    </x:row>
    <x:row r="275">
      <x:c r="A275" s="366" t="str">
        <x:v>PV of terminal value (£m)</x:v>
      </x:c>
      <x:c r="B275" s="514" t="n">
        <x:f>B102</x:f>
        <x:v>2247.5217725557504</x:v>
      </x:c>
      <x:c r="C275" s="506" t="n">
        <x:f>B168</x:f>
        <x:v>2272.773474291467</x:v>
      </x:c>
      <x:c r="D275" s="518" t="n">
        <x:f>B248</x:f>
        <x:v>2031.1483091598095</x:v>
      </x:c>
      <x:c r="E275" s="321"/>
      <x:c r="F275" s="321"/>
      <x:c r="G275" s="321"/>
    </x:row>
    <x:row r="276">
      <x:c r="A276" s="366" t="str">
        <x:v>Operating-business EV (£m)</x:v>
      </x:c>
      <x:c r="B276" s="514" t="n">
        <x:f>B103</x:f>
        <x:v>3035.3323069287717</x:v>
      </x:c>
      <x:c r="C276" s="506" t="n">
        <x:f>B169</x:f>
        <x:v>3040.861433673863</x:v>
      </x:c>
      <x:c r="D276" s="518" t="n">
        <x:f>B249</x:f>
        <x:v>2739.112270378971</x:v>
      </x:c>
      <x:c r="E276" s="321"/>
      <x:c r="F276" s="321"/>
      <x:c r="G276" s="321"/>
    </x:row>
    <x:row r="277">
      <x:c r="A277" s="366" t="str">
        <x:v>Net sale proceeds (£m)</x:v>
      </x:c>
      <x:c r="B277" s="514" t="n">
        <x:f>0</x:f>
        <x:v>0</x:v>
      </x:c>
      <x:c r="C277" s="506" t="n">
        <x:f>0</x:f>
        <x:v>0</x:v>
      </x:c>
      <x:c r="D277" s="518" t="n">
        <x:f>B250</x:f>
        <x:v>261.63</x:v>
      </x:c>
      <x:c r="E277" s="321"/>
      <x:c r="F277" s="321"/>
      <x:c r="G277" s="321"/>
    </x:row>
    <x:row r="278">
      <x:c r="A278" s="366" t="str">
        <x:v>Equity value (£m)</x:v>
      </x:c>
      <x:c r="B278" s="514" t="n">
        <x:f>B105</x:f>
        <x:v>2876.232306928772</x:v>
      </x:c>
      <x:c r="C278" s="506" t="n">
        <x:f>B171</x:f>
        <x:v>2881.761433673863</x:v>
      </x:c>
      <x:c r="D278" s="518" t="n">
        <x:f>B253</x:f>
        <x:v>2841.6422703789713</x:v>
      </x:c>
      <x:c r="E278" s="321"/>
      <x:c r="F278" s="321"/>
      <x:c r="G278" s="321"/>
    </x:row>
    <x:row r="279">
      <x:c r="A279" s="366" t="str">
        <x:v>Implied value per share (£)</x:v>
      </x:c>
      <x:c r="B279" s="515" t="n">
        <x:f>B107</x:f>
        <x:v>5.5089682185956175</x:v>
      </x:c>
      <x:c r="C279" s="507" t="n">
        <x:f>B173</x:f>
        <x:v>5.519558386657466</x:v>
      </x:c>
      <x:c r="D279" s="519" t="n">
        <x:f>B255</x:f>
        <x:v>5.442716472666101</x:v>
      </x:c>
      <x:c r="E279" s="321"/>
      <x:c r="F279" s="321"/>
      <x:c r="G279" s="321"/>
    </x:row>
    <x:row r="280">
      <x:c r="A280" s="370" t="str">
        <x:v>Change vs base</x:v>
      </x:c>
      <x:c r="B280" s="516" t="n">
        <x:f>0</x:f>
        <x:v>0</x:v>
      </x:c>
      <x:c r="C280" s="517" t="n">
        <x:f>B175</x:f>
        <x:v>0.0019223505458065837</x:v>
      </x:c>
      <x:c r="D280" s="520" t="n">
        <x:f>B257</x:f>
        <x:v>-0.012026162304927257</x:v>
      </x:c>
      <x:c r="E280" s="321"/>
      <x:c r="F280" s="321"/>
      <x:c r="G280" s="321"/>
    </x:row>
    <x:row r="281">
      <x:c r="A281" s="321"/>
      <x:c r="B281" s="321"/>
      <x:c r="C281" s="321"/>
      <x:c r="D281" s="321"/>
      <x:c r="E281" s="321"/>
      <x:c r="F281" s="321"/>
      <x:c r="G281" s="321"/>
    </x:row>
    <x:row r="282" ht="34" customHeight="1">
      <x:c r="A282" s="521" t="str">
        <x:v>Conclusion: at a 1.00x revenue sale multiple, disposal is worth £5.44 per share, below both retain cases. Disposal breaks even with the base case at approximately 1.13x revenue.</x:v>
      </x:c>
      <x:c r="B282" s="521"/>
      <x:c r="C282" s="521"/>
      <x:c r="D282" s="521"/>
      <x:c r="E282" s="521"/>
      <x:c r="F282" s="521"/>
      <x:c r="G282" s="321"/>
    </x:row>
  </x:sheetData>
  <x:mergeCells>
    <x:mergeCell ref="A1:G1"/>
    <x:mergeCell ref="A2:G2"/>
    <x:mergeCell ref="A4:F4"/>
    <x:mergeCell ref="A11:G11"/>
    <x:mergeCell ref="A13:G13"/>
    <x:mergeCell ref="A25:G25"/>
    <x:mergeCell ref="A30:F30"/>
    <x:mergeCell ref="A41:F41"/>
    <x:mergeCell ref="A43:F43"/>
    <x:mergeCell ref="A50:F50"/>
    <x:mergeCell ref="A52:F52"/>
    <x:mergeCell ref="B66:F66"/>
    <x:mergeCell ref="A68:F68"/>
    <x:mergeCell ref="C69:F69"/>
    <x:mergeCell ref="C70:F70"/>
    <x:mergeCell ref="C71:F71"/>
    <x:mergeCell ref="C72:F72"/>
    <x:mergeCell ref="C73:F73"/>
    <x:mergeCell ref="C74:F74"/>
    <x:mergeCell ref="C75:F75"/>
    <x:mergeCell ref="C76:F76"/>
    <x:mergeCell ref="C77:F77"/>
    <x:mergeCell ref="C78:F78"/>
    <x:mergeCell ref="C79:F79"/>
    <x:mergeCell ref="C80:F80"/>
    <x:mergeCell ref="C81:F81"/>
    <x:mergeCell ref="C82:F82"/>
    <x:mergeCell ref="C83:F83"/>
    <x:mergeCell ref="A86:F86"/>
    <x:mergeCell ref="C87:F87"/>
    <x:mergeCell ref="C88:F88"/>
    <x:mergeCell ref="C89:F89"/>
    <x:mergeCell ref="C90:F90"/>
    <x:mergeCell ref="A93:F93"/>
    <x:mergeCell ref="A111:F111"/>
    <x:mergeCell ref="A119:F119"/>
    <x:mergeCell ref="A122:F122"/>
    <x:mergeCell ref="A130:F130"/>
    <x:mergeCell ref="A132:G132"/>
    <x:mergeCell ref="A146:F146"/>
    <x:mergeCell ref="A159:F159"/>
    <x:mergeCell ref="A178:D178"/>
    <x:mergeCell ref="A188:F188"/>
    <x:mergeCell ref="A191:F191"/>
    <x:mergeCell ref="A205:F205"/>
    <x:mergeCell ref="A207:F207"/>
    <x:mergeCell ref="A212:F212"/>
    <x:mergeCell ref="A214:G214"/>
    <x:mergeCell ref="A228:F228"/>
    <x:mergeCell ref="A239:F239"/>
    <x:mergeCell ref="A260:E260"/>
    <x:mergeCell ref="A268:F268"/>
    <x:mergeCell ref="A270:D270"/>
    <x:mergeCell ref="A282:F282"/>
  </x:mergeCells>
  <x:pageMargins left="0.7" right="0.7" top="0.75" bottom="0.75" header="0.3" footer="0.3"/>
  <x:legacyDrawing xmlns:r="http://schemas.openxmlformats.org/officeDocument/2006/relationships" r:id="R937bd0bfe7244709"/>
</x:worksheet>
</file>