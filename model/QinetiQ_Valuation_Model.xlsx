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1fef81fb941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39025a319fb4843"/>
    <x:sheet xmlns:r="http://schemas.openxmlformats.org/officeDocument/2006/relationships" name="Historical Summary" sheetId="2" r:id="Rd8f33f0530cc4244"/>
    <x:sheet xmlns:r="http://schemas.openxmlformats.org/officeDocument/2006/relationships" name="Segments" sheetId="3" r:id="Ra66c41abe4bb4de2"/>
    <x:sheet xmlns:r="http://schemas.openxmlformats.org/officeDocument/2006/relationships" name="Statements" sheetId="4" r:id="R5beea3abd3a445d6"/>
    <x:sheet xmlns:r="http://schemas.openxmlformats.org/officeDocument/2006/relationships" name="Sources" sheetId="5" r:id="Ra33454945700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#,##0.0;(#,##0.0);-"/>
    <x:numFmt numFmtId="202" formatCode="0.0%;(0.0%);-"/>
    <x:numFmt numFmtId="203" formatCode="0.0x"/>
    <x:numFmt numFmtId="204" formatCode="0.00;(0.00);0.00"/>
  </x:numFmts>
  <x:fonts count="12">
    <x:font>
      <x:sz val="11"/>
      <x:name val="Carlito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5"/>
      <x:color rgb="FF17365D"/>
      <x:name val="Arial"/>
    </x:font>
    <x:font>
      <x:i/>
      <x:sz val="9"/>
      <x:color rgb="FF666666"/>
      <x:name val="Arial"/>
    </x:font>
    <x:font>
      <x:b/>
      <x:sz val="10"/>
      <x:color rgb="FF222222"/>
      <x:name val="Arial"/>
    </x:font>
    <x:font>
      <x:i/>
      <x:sz val="10"/>
      <x:color rgb="FF222222"/>
      <x:name val="Arial"/>
    </x:font>
    <x:font>
      <x:sz val="9"/>
      <x:color rgb="FF66666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9">
    <x:border/>
    <x:border>
      <x:bottom style="medium">
        <x:color rgb="FF4472C4"/>
      </x:bottom>
    </x:border>
    <x:border>
      <x:bottom style="thin">
        <x:color rgb="FF4472C4"/>
      </x:bottom>
    </x:border>
    <x:border>
      <x:bottom style="thin">
        <x:color rgb="FFE7E6E6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3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/>
    <x:xf numFmtId="0" fontId="3" fillId="0" borderId="6" xfId="0" applyNumberFormat="1" applyFont="1" applyFill="1" applyBorder="1"/>
    <x:xf numFmtId="0" fontId="1" fillId="0" borderId="6" xfId="0" applyNumberFormat="1" applyFont="1" applyFill="1" applyBorder="1"/>
    <x:xf numFmtId="0" fontId="3" fillId="0" borderId="7" xfId="0" applyNumberFormat="1" applyFont="1" applyFill="1" applyBorder="1"/>
    <x:xf numFmtId="0" fontId="1" fillId="0" borderId="7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0" borderId="2" xfId="0" applyNumberFormat="1" applyFont="1" applyFill="1" applyBorder="1"/>
    <x:xf numFmtId="0" fontId="8" fillId="0" borderId="0" xfId="0" applyNumberFormat="1" applyFont="1" applyFill="1" applyBorder="1"/>
    <x:xf numFmtId="0" fontId="4" fillId="3" borderId="8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201" fontId="5" fillId="0" borderId="0" xfId="0" applyNumberFormat="1" applyFont="1" applyFill="1" applyBorder="1"/>
    <x:xf numFmtId="202" fontId="10" fillId="0" borderId="0" xfId="0" applyNumberFormat="1" applyFont="1" applyFill="1" applyBorder="1"/>
    <x:xf numFmtId="203" fontId="10" fillId="0" borderId="0" xfId="0" applyNumberFormat="1" applyFont="1" applyFill="1" applyBorder="1"/>
    <x:xf numFmtId="0" fontId="11" fillId="0" borderId="0" xfId="0" applyNumberFormat="1" applyFont="1" applyFill="1" applyBorder="1"/>
    <x:xf numFmtId="204" fontId="6" fillId="0" borderId="0" xfId="0" applyNumberFormat="1" applyFont="1" applyFill="1" applyBorder="1"/>
    <x:xf numFmtId="204" fontId="6" fillId="0" borderId="3" xfId="0" applyNumberFormat="1" applyFont="1" applyFill="1" applyBorder="1"/>
    <x:xf numFmtId="204" fontId="6" fillId="0" borderId="7" xfId="0" applyNumberFormat="1" applyFont="1" applyFill="1" applyBorder="1"/>
    <x:xf numFmtId="201" fontId="1" fillId="0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9" fillId="0" borderId="0" xfId="0" applyNumberFormat="1" applyFont="1" applyFill="1" applyBorder="1"/>
    <x:xf numFmtId="201" fontId="5" fillId="5" borderId="0" xfId="0" applyNumberFormat="1" applyFont="1" applyFill="1" applyBorder="1"/>
    <x:xf numFmtId="201" fontId="3" fillId="2" borderId="2" xfId="0" applyNumberFormat="1" applyFont="1" applyFill="1" applyBorder="1"/>
    <x:xf numFmtId="201" fontId="9" fillId="0" borderId="0" xfId="0" applyNumberFormat="1" applyFont="1" applyFill="1" applyBorder="1"/>
    <x:xf numFmtId="204" fontId="9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4" fontId="6" fillId="0" borderId="3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4" fontId="6" fillId="0" borderId="7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horizontal="right" vertical="center"/>
    </x:xf>
    <x:xf numFmtId="0" fontId="4" fillId="3" borderId="5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2" fontId="10" fillId="0" borderId="0" xfId="0" applyNumberFormat="1" applyFont="1" applyFill="1" applyBorder="1" applyAlignment="1">
      <x:alignment horizontal="right" vertical="center"/>
    </x:xf>
    <x:xf numFmtId="203" fontId="10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3" fillId="2" borderId="2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right" vertical="center"/>
    </x:xf>
    <x:xf numFmtId="204" fontId="6" fillId="0" borderId="3" xfId="0" applyNumberFormat="1" applyFont="1" applyFill="1" applyBorder="1" applyAlignment="1">
      <x:alignment horizontal="right" vertical="center"/>
    </x:xf>
    <x:xf numFmtId="0" fontId="1" fillId="0" borderId="7" xfId="0" applyNumberFormat="1" applyFont="1" applyFill="1" applyBorder="1" applyAlignment="1">
      <x:alignment horizontal="right" vertical="center"/>
    </x:xf>
    <x:xf numFmtId="204" fontId="6" fillId="0" borderId="7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right" vertical="center"/>
    </x:xf>
    <x:xf numFmtId="201" fontId="5" fillId="5" borderId="0" xfId="0" applyNumberFormat="1" applyFont="1" applyFill="1" applyBorder="1" applyAlignment="1">
      <x:alignment vertical="center"/>
    </x:xf>
    <x:xf numFmtId="201" fontId="3" fillId="2" borderId="2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horizontal="right" vertical="center"/>
    </x:xf>
    <x:xf numFmtId="201" fontId="3" fillId="2" borderId="2" xfId="0" applyNumberFormat="1" applyFont="1" applyFill="1" applyBorder="1" applyAlignment="1">
      <x:alignment horizontal="right" vertical="center"/>
    </x:xf>
    <x:xf numFmtId="204" fontId="9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8f71447d040b8" /><Relationship Type="http://schemas.openxmlformats.org/officeDocument/2006/relationships/theme" Target="/xl/theme/theme1.xml" Id="Rb35fa8878cd1423a" /><Relationship Type="http://schemas.openxmlformats.org/officeDocument/2006/relationships/sharedStrings" Target="/xl/sharedStrings.xml" Id="R2e369a4eb20e4863" /><Relationship Type="http://schemas.openxmlformats.org/officeDocument/2006/relationships/worksheet" Target="/xl/worksheets/sheet1.xml" Id="R039025a319fb4843" /><Relationship Type="http://schemas.openxmlformats.org/officeDocument/2006/relationships/worksheet" Target="/xl/worksheets/sheet2.xml" Id="Rd8f33f0530cc4244" /><Relationship Type="http://schemas.openxmlformats.org/officeDocument/2006/relationships/worksheet" Target="/xl/worksheets/sheet3.xml" Id="Ra66c41abe4bb4de2" /><Relationship Type="http://schemas.openxmlformats.org/officeDocument/2006/relationships/worksheet" Target="/xl/worksheets/sheet4.xml" Id="R5beea3abd3a445d6" /><Relationship Type="http://schemas.openxmlformats.org/officeDocument/2006/relationships/worksheet" Target="/xl/worksheets/sheet5.xml" Id="Ra3345494570043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28" hidden="0" customWidth="1"/>
    <x:col min="4" max="4" width="6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2" t="str">
        <x:v>QinetiQ Valuation and US Strategic Review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3"/>
      <x:c r="D4" s="3"/>
      <x:c r="E4" s="3"/>
      <x:c r="F4" s="3"/>
      <x:c r="G4" s="3"/>
      <x:c r="H4" s="3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6" t="str">
        <x:v>Project question</x:v>
      </x:c>
      <x:c r="D6" s="6"/>
      <x:c r="E6" s="6"/>
      <x:c r="F6" s="6"/>
      <x:c r="G6" s="6"/>
      <x:c r="H6" s="6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4" customHeight="1">
      <x:c r="A7" s="1"/>
      <x:c r="B7" s="1"/>
      <x:c r="C7" s="9" t="str">
        <x:v>What is QinetiQ worth, and should management retain, restructure or sell the US business?</x:v>
      </x:c>
      <x:c r="D7" s="9"/>
      <x:c r="E7" s="9"/>
      <x:c r="F7" s="9"/>
      <x:c r="G7" s="9"/>
      <x:c r="H7" s="9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4" customHeight="1">
      <x:c r="A8" s="1"/>
      <x:c r="B8" s="1"/>
      <x:c r="C8" s="9"/>
      <x:c r="D8" s="9"/>
      <x:c r="E8" s="9"/>
      <x:c r="F8" s="9"/>
      <x:c r="G8" s="9"/>
      <x:c r="H8" s="9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0" t="str">
        <x:v>Version</x:v>
      </x:c>
      <x:c r="D10" s="1" t="str">
        <x:v>0.1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0" t="str">
        <x:v>As of</x:v>
      </x:c>
      <x:c r="D11" s="11" t="n">
        <x:v>46279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0" t="str">
        <x:v>Current stage</x:v>
      </x:c>
      <x:c r="D12" s="1" t="str">
        <x:v>Historical data collection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0" t="str">
        <x:v>Units</x:v>
      </x:c>
      <x:c r="D13" s="12" t="str">
        <x:v>£m except per-share data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6" t="str">
        <x:v>Financial-year definition</x:v>
      </x:c>
      <x:c r="D15" s="6"/>
      <x:c r="E15" s="6"/>
      <x:c r="F15" s="6"/>
      <x:c r="G15" s="6"/>
      <x:c r="H15" s="6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4" customHeight="1">
      <x:c r="A16" s="1"/>
      <x:c r="B16" s="1"/>
      <x:c r="C16" s="9" t="str">
        <x:v>FY means financial year. QinetiQ's FY26 is the 12 months ended 31 March 2026, covering 1 April 2025 to 31 March 2026.</x:v>
      </x:c>
      <x:c r="D16" s="9"/>
      <x:c r="E16" s="9"/>
      <x:c r="F16" s="9"/>
      <x:c r="G16" s="9"/>
      <x:c r="H16" s="9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4" customHeight="1">
      <x:c r="A17" s="1"/>
      <x:c r="B17" s="1"/>
      <x:c r="C17" s="9"/>
      <x:c r="D17" s="9"/>
      <x:c r="E17" s="9"/>
      <x:c r="F17" s="9"/>
      <x:c r="G17" s="9"/>
      <x:c r="H17" s="9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2" customHeight="1">
      <x:c r="A19" s="1"/>
      <x:c r="B19" s="1"/>
      <x:c r="C19" s="17" t="str">
        <x:v>Sheet</x:v>
      </x:c>
      <x:c r="D19" s="18" t="str">
        <x:v>Purpose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9" t="str">
        <x:v>Historical Summary</x:v>
      </x:c>
      <x:c r="D20" s="12" t="str">
        <x:v>Five-year headline financial and operating trends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20" t="str">
        <x:v>Segments</x:v>
      </x:c>
      <x:c r="D21" s="21" t="str">
        <x:v>EMEA Services and Global Solutions performance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20" t="str">
        <x:v>Statements</x:v>
      </x:c>
      <x:c r="D22" s="21" t="str">
        <x:v>Detailed income statement, balance sheet and cash-flow inputs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22" t="str">
        <x:v>Sources</x:v>
      </x:c>
      <x:c r="D23" s="23" t="str">
        <x:v>Documents, links and page references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6" t="str">
        <x:v>Modelling conventions</x:v>
      </x:c>
      <x:c r="D26" s="6"/>
      <x:c r="E26" s="6"/>
      <x:c r="F26" s="6"/>
      <x:c r="G26" s="6"/>
      <x:c r="H26" s="6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24" t="str">
        <x:v>Blue font: hardcoded source input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 t="str">
        <x:v>Black font: same-sheet formula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25" t="str">
        <x:v>Green font: cross-sheet link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 t="str">
        <x:v>Yellow fill: source input still required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mergeCells>
    <x:mergeCell ref="C7:H8"/>
    <x:mergeCell ref="C16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10" max="10" width="4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26" t="str">
        <x:v>Historical Summary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27"/>
      <x:c r="D3" s="27"/>
      <x:c r="E3" s="27"/>
      <x:c r="F3" s="27"/>
      <x:c r="G3" s="27"/>
      <x:c r="H3" s="27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28" t="str">
        <x:v>FY22-FY26 actual results; £m except EPS and ratios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2" customHeight="1">
      <x:c r="A6" s="1"/>
      <x:c r="B6" s="1"/>
      <x:c r="C6" s="17" t="str">
        <x:v>Metric</x:v>
      </x:c>
      <x:c r="D6" s="29" t="str">
        <x:v>FY22</x:v>
      </x:c>
      <x:c r="E6" s="29" t="str">
        <x:v>FY23</x:v>
      </x:c>
      <x:c r="F6" s="29" t="str">
        <x:v>FY24</x:v>
      </x:c>
      <x:c r="G6" s="29" t="str">
        <x:v>FY25</x:v>
      </x:c>
      <x:c r="H6" s="18" t="str">
        <x:v>FY26</x:v>
      </x:c>
      <x:c r="I6" s="1"/>
      <x:c r="J6" s="32" t="str">
        <x:v>Source / note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52" t="str">
        <x:v>Revenue</x:v>
      </x:c>
      <x:c r="D7" s="64" t="n">
        <x:v>1320.4</x:v>
      </x:c>
      <x:c r="E7" s="64" t="n">
        <x:v>1580.7</x:v>
      </x:c>
      <x:c r="F7" s="64" t="n">
        <x:v>1912.1</x:v>
      </x:c>
      <x:c r="G7" s="64" t="n">
        <x:v>1931.6</x:v>
      </x:c>
      <x:c r="H7" s="64" t="n">
        <x:v>1922.6</x:v>
      </x:c>
      <x:c r="I7" s="1"/>
      <x:c r="J7" s="37" t="str">
        <x:v>S006, p.216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54" t="str">
        <x:v>  Revenue growth</x:v>
      </x:c>
      <x:c r="D8" s="65"/>
      <x:c r="E8" s="65" t="n">
        <x:f>E7/D7-1</x:f>
        <x:v>0.19713723114207804</x:v>
      </x:c>
      <x:c r="F8" s="65" t="n">
        <x:f>F7/E7-1</x:f>
        <x:v>0.20965395078129934</x:v>
      </x:c>
      <x:c r="G8" s="65" t="n">
        <x:f>G7/F7-1</x:f>
        <x:v>0.010198211390617606</x:v>
      </x:c>
      <x:c r="H8" s="65" t="n">
        <x:f>H7/G7-1</x:f>
        <x:v>-0.004659349761855447</x:v>
      </x:c>
      <x:c r="I8" s="1"/>
      <x:c r="J8" s="37" t="str">
        <x:v>Calculated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52" t="str">
        <x:v>Segment operating profit</x:v>
      </x:c>
      <x:c r="D9" s="64" t="n">
        <x:v>137.4</x:v>
      </x:c>
      <x:c r="E9" s="64" t="n">
        <x:v>178.9</x:v>
      </x:c>
      <x:c r="F9" s="64" t="n">
        <x:v>215.2</x:v>
      </x:c>
      <x:c r="G9" s="64" t="n">
        <x:v>185.4</x:v>
      </x:c>
      <x:c r="H9" s="64" t="n">
        <x:v>217.9</x:v>
      </x:c>
      <x:c r="I9" s="1"/>
      <x:c r="J9" s="37" t="str">
        <x:v>S006, p.216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54" t="str">
        <x:v>  Segment operating margin</x:v>
      </x:c>
      <x:c r="D10" s="65" t="n">
        <x:f>D9/D7</x:f>
        <x:v>0.10405937594668282</x:v>
      </x:c>
      <x:c r="E10" s="65" t="n">
        <x:f>E9/E7</x:f>
        <x:v>0.113177706079585</x:v>
      </x:c>
      <x:c r="F10" s="65" t="n">
        <x:f>F9/F7</x:f>
        <x:v>0.1125464149364573</x:v>
      </x:c>
      <x:c r="G10" s="65" t="n">
        <x:f>G9/G7</x:f>
        <x:v>0.09598260509422242</x:v>
      </x:c>
      <x:c r="H10" s="65" t="n">
        <x:f>H9/H7</x:f>
        <x:v>0.11333610735462396</x:v>
      </x:c>
      <x:c r="I10" s="1"/>
      <x:c r="J10" s="37" t="str">
        <x:v>Calculated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52" t="str">
        <x:v>Underlying EPS (p)</x:v>
      </x:c>
      <x:c r="D11" s="64" t="n">
        <x:v>20.6</x:v>
      </x:c>
      <x:c r="E11" s="64" t="n">
        <x:v>26.5</x:v>
      </x:c>
      <x:c r="F11" s="64" t="n">
        <x:v>29.4</x:v>
      </x:c>
      <x:c r="G11" s="64" t="n">
        <x:v>26.1</x:v>
      </x:c>
      <x:c r="H11" s="64" t="n">
        <x:v>31.5</x:v>
      </x:c>
      <x:c r="I11" s="1"/>
      <x:c r="J11" s="37" t="str">
        <x:v>S006, p.216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52" t="str">
        <x:v>Underlying net cash flow from operations</x:v>
      </x:c>
      <x:c r="D12" s="64" t="n">
        <x:v>220.7</x:v>
      </x:c>
      <x:c r="E12" s="64" t="n">
        <x:v>270.1</x:v>
      </x:c>
      <x:c r="F12" s="64" t="n">
        <x:v>320.2</x:v>
      </x:c>
      <x:c r="G12" s="64" t="n">
        <x:v>316.2</x:v>
      </x:c>
      <x:c r="H12" s="64" t="n">
        <x:v>343.2</x:v>
      </x:c>
      <x:c r="I12" s="1"/>
      <x:c r="J12" s="37" t="str">
        <x:v>S006, p.216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52" t="str">
        <x:v>Net cash/(debt)</x:v>
      </x:c>
      <x:c r="D13" s="64" t="n">
        <x:v>225.1</x:v>
      </x:c>
      <x:c r="E13" s="64" t="n">
        <x:v>-206.9</x:v>
      </x:c>
      <x:c r="F13" s="64" t="n">
        <x:v>-151.2</x:v>
      </x:c>
      <x:c r="G13" s="64" t="n">
        <x:v>-133.2</x:v>
      </x:c>
      <x:c r="H13" s="64" t="n">
        <x:v>-159.1</x:v>
      </x:c>
      <x:c r="I13" s="1"/>
      <x:c r="J13" s="37" t="str">
        <x:v>S006, p.216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52" t="str">
        <x:v>Orders excluding LTPA amendments/extensions</x:v>
      </x:c>
      <x:c r="D14" s="64" t="n">
        <x:v>1226.6</x:v>
      </x:c>
      <x:c r="E14" s="64" t="n">
        <x:v>1724.1</x:v>
      </x:c>
      <x:c r="F14" s="64" t="n">
        <x:v>1740.4</x:v>
      </x:c>
      <x:c r="G14" s="64" t="n">
        <x:v>1954.8</x:v>
      </x:c>
      <x:c r="H14" s="64" t="n">
        <x:v>1864</x:v>
      </x:c>
      <x:c r="I14" s="1"/>
      <x:c r="J14" s="37" t="str">
        <x:v>S006, p.216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54" t="str">
        <x:v>  Orders/revenue</x:v>
      </x:c>
      <x:c r="D15" s="66" t="n">
        <x:f>D14/D7</x:f>
        <x:v>0.9289609209330505</x:v>
      </x:c>
      <x:c r="E15" s="66" t="n">
        <x:f>E14/E7</x:f>
        <x:v>1.0907193015752514</x:v>
      </x:c>
      <x:c r="F15" s="66" t="n">
        <x:f>F14/F7</x:f>
        <x:v>0.9102034412426129</x:v>
      </x:c>
      <x:c r="G15" s="66" t="n">
        <x:f>G14/G7</x:f>
        <x:v>1.0120107682750052</x:v>
      </x:c>
      <x:c r="H15" s="66" t="n">
        <x:f>H14/H7</x:f>
        <x:v>0.9695204410693853</x:v>
      </x:c>
      <x:c r="I15" s="1"/>
      <x:c r="J15" s="37" t="str">
        <x:v>Calculated; not management's adjusted book-to-bill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52" t="str">
        <x:v>Funded order backlog</x:v>
      </x:c>
      <x:c r="D16" s="64"/>
      <x:c r="E16" s="64"/>
      <x:c r="F16" s="64"/>
      <x:c r="G16" s="64" t="n">
        <x:v>2845.2</x:v>
      </x:c>
      <x:c r="H16" s="64" t="n">
        <x:v>4421.4</x:v>
      </x:c>
      <x:c r="I16" s="1"/>
      <x:c r="J16" s="37" t="str">
        <x:v>S001 / S006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52"/>
      <x:c r="D17" s="67"/>
      <x:c r="E17" s="67"/>
      <x:c r="F17" s="67"/>
      <x:c r="G17" s="67"/>
      <x:c r="H17" s="67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52"/>
      <x:c r="D18" s="67"/>
      <x:c r="E18" s="67"/>
      <x:c r="F18" s="67"/>
      <x:c r="G18" s="67"/>
      <x:c r="H18" s="67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57" t="str">
        <x:v>Reconciliation checks</x:v>
      </x:c>
      <x:c r="D19" s="68"/>
      <x:c r="E19" s="68"/>
      <x:c r="F19" s="68"/>
      <x:c r="G19" s="68"/>
      <x:c r="H19" s="68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58" t="str">
        <x:v>FY26 segment revenue difference</x:v>
      </x:c>
      <x:c r="D20" s="69"/>
      <x:c r="E20" s="69"/>
      <x:c r="F20" s="69"/>
      <x:c r="G20" s="69"/>
      <x:c r="H20" s="70" t="n">
        <x:f>H7-'Segments'!H8</x:f>
        <x:v>0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60" t="str">
        <x:v>FY26 segment operating profit difference</x:v>
      </x:c>
      <x:c r="D21" s="71"/>
      <x:c r="E21" s="71"/>
      <x:c r="F21" s="71"/>
      <x:c r="G21" s="71"/>
      <x:c r="H21" s="72" t="n">
        <x:f>H9-'Segments'!H15</x:f>
        <x:v>0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52"/>
      <x:c r="D22" s="67"/>
      <x:c r="E22" s="67"/>
      <x:c r="F22" s="67"/>
      <x:c r="G22" s="67"/>
      <x:c r="H22" s="67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52"/>
      <x:c r="D23" s="67"/>
      <x:c r="E23" s="67"/>
      <x:c r="F23" s="67"/>
      <x:c r="G23" s="67"/>
      <x:c r="H23" s="67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52"/>
      <x:c r="D24" s="67"/>
      <x:c r="E24" s="67"/>
      <x:c r="F24" s="67"/>
      <x:c r="G24" s="67"/>
      <x:c r="H24" s="67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52"/>
      <x:c r="D25" s="67"/>
      <x:c r="E25" s="67"/>
      <x:c r="F25" s="67"/>
      <x:c r="G25" s="67"/>
      <x:c r="H25" s="67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52"/>
      <x:c r="D26" s="67"/>
      <x:c r="E26" s="67"/>
      <x:c r="F26" s="67"/>
      <x:c r="G26" s="67"/>
      <x:c r="H26" s="67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52"/>
      <x:c r="D27" s="67"/>
      <x:c r="E27" s="67"/>
      <x:c r="F27" s="67"/>
      <x:c r="G27" s="67"/>
      <x:c r="H27" s="67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52"/>
      <x:c r="D28" s="67"/>
      <x:c r="E28" s="67"/>
      <x:c r="F28" s="67"/>
      <x:c r="G28" s="67"/>
      <x:c r="H28" s="67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52"/>
      <x:c r="D29" s="67"/>
      <x:c r="E29" s="67"/>
      <x:c r="F29" s="67"/>
      <x:c r="G29" s="67"/>
      <x:c r="H29" s="67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52"/>
      <x:c r="D30" s="67"/>
      <x:c r="E30" s="67"/>
      <x:c r="F30" s="67"/>
      <x:c r="G30" s="67"/>
      <x:c r="H30" s="67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52"/>
      <x:c r="D31" s="67"/>
      <x:c r="E31" s="67"/>
      <x:c r="F31" s="67"/>
      <x:c r="G31" s="67"/>
      <x:c r="H31" s="67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52"/>
      <x:c r="D32" s="67"/>
      <x:c r="E32" s="67"/>
      <x:c r="F32" s="67"/>
      <x:c r="G32" s="67"/>
      <x:c r="H32" s="67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52"/>
      <x:c r="D33" s="67"/>
      <x:c r="E33" s="67"/>
      <x:c r="F33" s="67"/>
      <x:c r="G33" s="67"/>
      <x:c r="H33" s="67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52"/>
      <x:c r="D34" s="67"/>
      <x:c r="E34" s="67"/>
      <x:c r="F34" s="67"/>
      <x:c r="G34" s="67"/>
      <x:c r="H34" s="67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52"/>
      <x:c r="D35" s="67"/>
      <x:c r="E35" s="67"/>
      <x:c r="F35" s="67"/>
      <x:c r="G35" s="67"/>
      <x:c r="H35" s="67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52"/>
      <x:c r="D36" s="67"/>
      <x:c r="E36" s="67"/>
      <x:c r="F36" s="67"/>
      <x:c r="G36" s="67"/>
      <x:c r="H36" s="67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52"/>
      <x:c r="D37" s="67"/>
      <x:c r="E37" s="67"/>
      <x:c r="F37" s="67"/>
      <x:c r="G37" s="67"/>
      <x:c r="H37" s="67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52"/>
      <x:c r="D38" s="67"/>
      <x:c r="E38" s="67"/>
      <x:c r="F38" s="67"/>
      <x:c r="G38" s="67"/>
      <x:c r="H38" s="67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52"/>
      <x:c r="D39" s="67"/>
      <x:c r="E39" s="67"/>
      <x:c r="F39" s="67"/>
      <x:c r="G39" s="67"/>
      <x:c r="H39" s="67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52"/>
      <x:c r="D40" s="67"/>
      <x:c r="E40" s="67"/>
      <x:c r="F40" s="67"/>
      <x:c r="G40" s="67"/>
      <x:c r="H40" s="67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52"/>
      <x:c r="D41" s="67"/>
      <x:c r="E41" s="67"/>
      <x:c r="F41" s="67"/>
      <x:c r="G41" s="67"/>
      <x:c r="H41" s="67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52"/>
      <x:c r="D42" s="67"/>
      <x:c r="E42" s="67"/>
      <x:c r="F42" s="67"/>
      <x:c r="G42" s="67"/>
      <x:c r="H42" s="67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52"/>
      <x:c r="D43" s="67"/>
      <x:c r="E43" s="67"/>
      <x:c r="F43" s="67"/>
      <x:c r="G43" s="67"/>
      <x:c r="H43" s="67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52"/>
      <x:c r="D44" s="67"/>
      <x:c r="E44" s="67"/>
      <x:c r="F44" s="67"/>
      <x:c r="G44" s="67"/>
      <x:c r="H44" s="67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52"/>
      <x:c r="D45" s="67"/>
      <x:c r="E45" s="67"/>
      <x:c r="F45" s="67"/>
      <x:c r="G45" s="67"/>
      <x:c r="H45" s="67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52"/>
      <x:c r="D46" s="67"/>
      <x:c r="E46" s="67"/>
      <x:c r="F46" s="67"/>
      <x:c r="G46" s="67"/>
      <x:c r="H46" s="67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52"/>
      <x:c r="D47" s="67"/>
      <x:c r="E47" s="67"/>
      <x:c r="F47" s="67"/>
      <x:c r="G47" s="67"/>
      <x:c r="H47" s="67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52"/>
      <x:c r="D48" s="67"/>
      <x:c r="E48" s="67"/>
      <x:c r="F48" s="67"/>
      <x:c r="G48" s="67"/>
      <x:c r="H48" s="67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52"/>
      <x:c r="D49" s="67"/>
      <x:c r="E49" s="67"/>
      <x:c r="F49" s="67"/>
      <x:c r="G49" s="67"/>
      <x:c r="H49" s="67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52"/>
      <x:c r="D50" s="67"/>
      <x:c r="E50" s="67"/>
      <x:c r="F50" s="67"/>
      <x:c r="G50" s="67"/>
      <x:c r="H50" s="67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52"/>
      <x:c r="D51" s="67"/>
      <x:c r="E51" s="67"/>
      <x:c r="F51" s="67"/>
      <x:c r="G51" s="67"/>
      <x:c r="H51" s="67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52"/>
      <x:c r="D52" s="67"/>
      <x:c r="E52" s="67"/>
      <x:c r="F52" s="67"/>
      <x:c r="G52" s="67"/>
      <x:c r="H52" s="67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52"/>
      <x:c r="D53" s="67"/>
      <x:c r="E53" s="67"/>
      <x:c r="F53" s="67"/>
      <x:c r="G53" s="67"/>
      <x:c r="H53" s="67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52"/>
      <x:c r="D54" s="67"/>
      <x:c r="E54" s="67"/>
      <x:c r="F54" s="67"/>
      <x:c r="G54" s="67"/>
      <x:c r="H54" s="67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52"/>
      <x:c r="D55" s="67"/>
      <x:c r="E55" s="67"/>
      <x:c r="F55" s="67"/>
      <x:c r="G55" s="67"/>
      <x:c r="H55" s="67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52"/>
      <x:c r="D56" s="67"/>
      <x:c r="E56" s="67"/>
      <x:c r="F56" s="67"/>
      <x:c r="G56" s="67"/>
      <x:c r="H56" s="67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52"/>
      <x:c r="D57" s="67"/>
      <x:c r="E57" s="67"/>
      <x:c r="F57" s="67"/>
      <x:c r="G57" s="67"/>
      <x:c r="H57" s="67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52"/>
      <x:c r="D58" s="67"/>
      <x:c r="E58" s="67"/>
      <x:c r="F58" s="67"/>
      <x:c r="G58" s="67"/>
      <x:c r="H58" s="67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52"/>
      <x:c r="D59" s="67"/>
      <x:c r="E59" s="67"/>
      <x:c r="F59" s="67"/>
      <x:c r="G59" s="67"/>
      <x:c r="H59" s="67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52"/>
      <x:c r="D60" s="67"/>
      <x:c r="E60" s="67"/>
      <x:c r="F60" s="67"/>
      <x:c r="G60" s="67"/>
      <x:c r="H60" s="67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26" t="str">
        <x:v>Segment Performance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27"/>
      <x:c r="D3" s="27"/>
      <x:c r="E3" s="27"/>
      <x:c r="F3" s="27"/>
      <x:c r="G3" s="27"/>
      <x:c r="H3" s="27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28" t="str">
        <x:v>EMEA Services and Global Solutions; FY22-FY26 actual results (£m)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2" customHeight="1">
      <x:c r="A6" s="1"/>
      <x:c r="B6" s="1"/>
      <x:c r="C6" s="17" t="str">
        <x:v>Metric</x:v>
      </x:c>
      <x:c r="D6" s="29" t="str">
        <x:v>FY22</x:v>
      </x:c>
      <x:c r="E6" s="29" t="str">
        <x:v>FY23</x:v>
      </x:c>
      <x:c r="F6" s="29" t="str">
        <x:v>FY24</x:v>
      </x:c>
      <x:c r="G6" s="29" t="str">
        <x:v>FY25</x:v>
      </x:c>
      <x:c r="H6" s="18" t="str">
        <x:v>FY26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57" t="str">
        <x:v>Revenue</x:v>
      </x:c>
      <x:c r="D7" s="68"/>
      <x:c r="E7" s="68"/>
      <x:c r="F7" s="68"/>
      <x:c r="G7" s="68"/>
      <x:c r="H7" s="68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52" t="str">
        <x:v>  Total segment revenue</x:v>
      </x:c>
      <x:c r="D8" s="75" t="n">
        <x:f>D9+D10</x:f>
        <x:v>1320.4</x:v>
      </x:c>
      <x:c r="E8" s="75" t="n">
        <x:f>E9+E10</x:f>
        <x:v>1580.6999999999998</x:v>
      </x:c>
      <x:c r="F8" s="75" t="n">
        <x:f>F9+F10</x:f>
        <x:v>1912.1000000000001</x:v>
      </x:c>
      <x:c r="G8" s="75" t="n">
        <x:f>G9+G10</x:f>
        <x:v>1931.6</x:v>
      </x:c>
      <x:c r="H8" s="75" t="n">
        <x:f>H9+H10</x:f>
        <x:v>1922.6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52" t="str">
        <x:v>  EMEA Services</x:v>
      </x:c>
      <x:c r="D9" s="64" t="n">
        <x:v>1059.2</x:v>
      </x:c>
      <x:c r="E9" s="64" t="n">
        <x:v>1179.3</x:v>
      </x:c>
      <x:c r="F9" s="64" t="n">
        <x:v>1417.4</x:v>
      </x:c>
      <x:c r="G9" s="64" t="n">
        <x:v>1477.7</x:v>
      </x:c>
      <x:c r="H9" s="64" t="n">
        <x:v>1529.2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52" t="str">
        <x:v>  Global Solutions</x:v>
      </x:c>
      <x:c r="D10" s="64" t="n">
        <x:v>261.2</x:v>
      </x:c>
      <x:c r="E10" s="64" t="n">
        <x:v>401.4</x:v>
      </x:c>
      <x:c r="F10" s="64" t="n">
        <x:v>494.7</x:v>
      </x:c>
      <x:c r="G10" s="64" t="n">
        <x:v>453.9</x:v>
      </x:c>
      <x:c r="H10" s="64" t="n">
        <x:v>393.4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54" t="str">
        <x:v>  EMEA revenue growth</x:v>
      </x:c>
      <x:c r="D11" s="65"/>
      <x:c r="E11" s="65" t="n">
        <x:f>E9/D9-1</x:f>
        <x:v>0.11338746223564944</x:v>
      </x:c>
      <x:c r="F11" s="65" t="n">
        <x:f>F9/E9-1</x:f>
        <x:v>0.2018994318663616</x:v>
      </x:c>
      <x:c r="G11" s="65" t="n">
        <x:f>G9/F9-1</x:f>
        <x:v>0.04254268378721604</x:v>
      </x:c>
      <x:c r="H11" s="65" t="n">
        <x:f>H9/G9-1</x:f>
        <x:v>0.03485145834743175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54" t="str">
        <x:v>  Global Solutions revenue growth</x:v>
      </x:c>
      <x:c r="D12" s="65"/>
      <x:c r="E12" s="65" t="n">
        <x:f>E10/D10-1</x:f>
        <x:v>0.5367534456355283</x:v>
      </x:c>
      <x:c r="F12" s="65" t="n">
        <x:f>F10/E10-1</x:f>
        <x:v>0.23243647234678622</x:v>
      </x:c>
      <x:c r="G12" s="65" t="n">
        <x:f>G10/F10-1</x:f>
        <x:v>-0.08247422680412375</x:v>
      </x:c>
      <x:c r="H12" s="65" t="n">
        <x:f>H10/G10-1</x:f>
        <x:v>-0.1332892707644856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52" t="str"/>
      <x:c r="D13" s="67"/>
      <x:c r="E13" s="67"/>
      <x:c r="F13" s="67"/>
      <x:c r="G13" s="67"/>
      <x:c r="H13" s="67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57" t="str">
        <x:v>Operating profit</x:v>
      </x:c>
      <x:c r="D14" s="68"/>
      <x:c r="E14" s="68"/>
      <x:c r="F14" s="68"/>
      <x:c r="G14" s="68"/>
      <x:c r="H14" s="68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52" t="str">
        <x:v>  Total segment operating profit</x:v>
      </x:c>
      <x:c r="D15" s="75" t="n">
        <x:f>D16+D17</x:f>
        <x:v>137.4</x:v>
      </x:c>
      <x:c r="E15" s="75" t="n">
        <x:f>E16+E17</x:f>
        <x:v>178.89999999999998</x:v>
      </x:c>
      <x:c r="F15" s="75" t="n">
        <x:f>F16+F17</x:f>
        <x:v>215.2</x:v>
      </x:c>
      <x:c r="G15" s="75" t="n">
        <x:f>G16+G17</x:f>
        <x:v>185.4</x:v>
      </x:c>
      <x:c r="H15" s="75" t="n">
        <x:f>H16+H17</x:f>
        <x:v>217.9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52" t="str">
        <x:v>  EMEA Services</x:v>
      </x:c>
      <x:c r="D16" s="64" t="n">
        <x:v>135.6</x:v>
      </x:c>
      <x:c r="E16" s="64" t="n">
        <x:v>137.1</x:v>
      </x:c>
      <x:c r="F16" s="64" t="n">
        <x:v>163.4</x:v>
      </x:c>
      <x:c r="G16" s="64" t="n">
        <x:v>169</x:v>
      </x:c>
      <x:c r="H16" s="64" t="n">
        <x:v>182.3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52" t="str">
        <x:v>  Global Solutions</x:v>
      </x:c>
      <x:c r="D17" s="64" t="n">
        <x:v>1.8</x:v>
      </x:c>
      <x:c r="E17" s="64" t="n">
        <x:v>41.8</x:v>
      </x:c>
      <x:c r="F17" s="64" t="n">
        <x:v>51.8</x:v>
      </x:c>
      <x:c r="G17" s="64" t="n">
        <x:v>16.4</x:v>
      </x:c>
      <x:c r="H17" s="64" t="n">
        <x:v>35.6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54" t="str">
        <x:v>  Group segment margin</x:v>
      </x:c>
      <x:c r="D18" s="65" t="n">
        <x:f>D15/D8</x:f>
        <x:v>0.10405937594668282</x:v>
      </x:c>
      <x:c r="E18" s="65" t="n">
        <x:f>E15/E8</x:f>
        <x:v>0.113177706079585</x:v>
      </x:c>
      <x:c r="F18" s="65" t="n">
        <x:f>F15/F8</x:f>
        <x:v>0.11254641493645728</x:v>
      </x:c>
      <x:c r="G18" s="65" t="n">
        <x:f>G15/G8</x:f>
        <x:v>0.09598260509422242</x:v>
      </x:c>
      <x:c r="H18" s="65" t="n">
        <x:f>H15/H8</x:f>
        <x:v>0.11333610735462396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54" t="str">
        <x:v>  EMEA margin</x:v>
      </x:c>
      <x:c r="D19" s="65" t="n">
        <x:f>D16/D9</x:f>
        <x:v>0.12802114803625378</x:v>
      </x:c>
      <x:c r="E19" s="65" t="n">
        <x:f>E16/E9</x:f>
        <x:v>0.11625540574917324</x:v>
      </x:c>
      <x:c r="F19" s="65" t="n">
        <x:f>F16/F9</x:f>
        <x:v>0.11528150134048257</x:v>
      </x:c>
      <x:c r="G19" s="65" t="n">
        <x:f>G16/G9</x:f>
        <x:v>0.11436692156730054</x:v>
      </x:c>
      <x:c r="H19" s="65" t="n">
        <x:f>H16/H9</x:f>
        <x:v>0.11921266021449124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54" t="str">
        <x:v>  Global Solutions margin</x:v>
      </x:c>
      <x:c r="D20" s="65" t="n">
        <x:f>D17/D10</x:f>
        <x:v>0.006891271056661563</x:v>
      </x:c>
      <x:c r="E20" s="65" t="n">
        <x:f>E17/E10</x:f>
        <x:v>0.10413552566018934</x:v>
      </x:c>
      <x:c r="F20" s="65" t="n">
        <x:f>F17/F10</x:f>
        <x:v>0.10470992520719628</x:v>
      </x:c>
      <x:c r="G20" s="65" t="n">
        <x:f>G17/G10</x:f>
        <x:v>0.03613130645516634</x:v>
      </x:c>
      <x:c r="H20" s="65" t="n">
        <x:f>H17/H10</x:f>
        <x:v>0.09049313675648196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57" t="str">
        <x:v>Revenue mix</x:v>
      </x:c>
      <x:c r="D21" s="68"/>
      <x:c r="E21" s="68"/>
      <x:c r="F21" s="68"/>
      <x:c r="G21" s="68"/>
      <x:c r="H21" s="68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54" t="str">
        <x:v>  EMEA share of revenue</x:v>
      </x:c>
      <x:c r="D22" s="65" t="n">
        <x:f>D9/D8</x:f>
        <x:v>0.8021811572250833</x:v>
      </x:c>
      <x:c r="E22" s="65" t="n">
        <x:f>E9/E8</x:f>
        <x:v>0.7460618713228317</x:v>
      </x:c>
      <x:c r="F22" s="65" t="n">
        <x:f>F9/F8</x:f>
        <x:v>0.7412792217980231</x:v>
      </x:c>
      <x:c r="G22" s="65" t="n">
        <x:f>G9/G8</x:f>
        <x:v>0.7650134603437565</x:v>
      </x:c>
      <x:c r="H22" s="65" t="n">
        <x:f>H9/H8</x:f>
        <x:v>0.7953812545511287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52"/>
      <x:c r="D23" s="67"/>
      <x:c r="E23" s="67"/>
      <x:c r="F23" s="67"/>
      <x:c r="G23" s="67"/>
      <x:c r="H23" s="67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52" t="str">
        <x:v>Source</x:v>
      </x:c>
      <x:c r="D24" s="76" t="str">
        <x:v>QinetiQ Annual Report and Accounts 2026, five-year financial summary, p.216</x:v>
      </x:c>
      <x:c r="E24" s="76"/>
      <x:c r="F24" s="76"/>
      <x:c r="G24" s="76"/>
      <x:c r="H24" s="76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52"/>
      <x:c r="D25" s="67"/>
      <x:c r="E25" s="67"/>
      <x:c r="F25" s="67"/>
      <x:c r="G25" s="67"/>
      <x:c r="H25" s="67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52"/>
      <x:c r="D26" s="67"/>
      <x:c r="E26" s="67"/>
      <x:c r="F26" s="67"/>
      <x:c r="G26" s="67"/>
      <x:c r="H26" s="67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52"/>
      <x:c r="D27" s="67"/>
      <x:c r="E27" s="67"/>
      <x:c r="F27" s="67"/>
      <x:c r="G27" s="67"/>
      <x:c r="H27" s="67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52"/>
      <x:c r="D28" s="67"/>
      <x:c r="E28" s="67"/>
      <x:c r="F28" s="67"/>
      <x:c r="G28" s="67"/>
      <x:c r="H28" s="67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52"/>
      <x:c r="D29" s="67"/>
      <x:c r="E29" s="67"/>
      <x:c r="F29" s="67"/>
      <x:c r="G29" s="67"/>
      <x:c r="H29" s="67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52"/>
      <x:c r="D30" s="67"/>
      <x:c r="E30" s="67"/>
      <x:c r="F30" s="67"/>
      <x:c r="G30" s="67"/>
      <x:c r="H30" s="67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52"/>
      <x:c r="D31" s="67"/>
      <x:c r="E31" s="67"/>
      <x:c r="F31" s="67"/>
      <x:c r="G31" s="67"/>
      <x:c r="H31" s="67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52"/>
      <x:c r="D32" s="67"/>
      <x:c r="E32" s="67"/>
      <x:c r="F32" s="67"/>
      <x:c r="G32" s="67"/>
      <x:c r="H32" s="67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52"/>
      <x:c r="D33" s="67"/>
      <x:c r="E33" s="67"/>
      <x:c r="F33" s="67"/>
      <x:c r="G33" s="67"/>
      <x:c r="H33" s="67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52"/>
      <x:c r="D34" s="67"/>
      <x:c r="E34" s="67"/>
      <x:c r="F34" s="67"/>
      <x:c r="G34" s="67"/>
      <x:c r="H34" s="67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52"/>
      <x:c r="D35" s="67"/>
      <x:c r="E35" s="67"/>
      <x:c r="F35" s="67"/>
      <x:c r="G35" s="67"/>
      <x:c r="H35" s="67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52"/>
      <x:c r="D36" s="67"/>
      <x:c r="E36" s="67"/>
      <x:c r="F36" s="67"/>
      <x:c r="G36" s="67"/>
      <x:c r="H36" s="67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52"/>
      <x:c r="D37" s="67"/>
      <x:c r="E37" s="67"/>
      <x:c r="F37" s="67"/>
      <x:c r="G37" s="67"/>
      <x:c r="H37" s="67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52"/>
      <x:c r="D38" s="67"/>
      <x:c r="E38" s="67"/>
      <x:c r="F38" s="67"/>
      <x:c r="G38" s="67"/>
      <x:c r="H38" s="67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52"/>
      <x:c r="D39" s="67"/>
      <x:c r="E39" s="67"/>
      <x:c r="F39" s="67"/>
      <x:c r="G39" s="67"/>
      <x:c r="H39" s="67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52"/>
      <x:c r="D40" s="67"/>
      <x:c r="E40" s="67"/>
      <x:c r="F40" s="67"/>
      <x:c r="G40" s="67"/>
      <x:c r="H40" s="67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52"/>
      <x:c r="D41" s="67"/>
      <x:c r="E41" s="67"/>
      <x:c r="F41" s="67"/>
      <x:c r="G41" s="67"/>
      <x:c r="H41" s="67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52"/>
      <x:c r="D42" s="67"/>
      <x:c r="E42" s="67"/>
      <x:c r="F42" s="67"/>
      <x:c r="G42" s="67"/>
      <x:c r="H42" s="67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52"/>
      <x:c r="D43" s="67"/>
      <x:c r="E43" s="67"/>
      <x:c r="F43" s="67"/>
      <x:c r="G43" s="67"/>
      <x:c r="H43" s="67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52"/>
      <x:c r="D44" s="67"/>
      <x:c r="E44" s="67"/>
      <x:c r="F44" s="67"/>
      <x:c r="G44" s="67"/>
      <x:c r="H44" s="67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52"/>
      <x:c r="D45" s="67"/>
      <x:c r="E45" s="67"/>
      <x:c r="F45" s="67"/>
      <x:c r="G45" s="67"/>
      <x:c r="H45" s="67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52"/>
      <x:c r="D46" s="67"/>
      <x:c r="E46" s="67"/>
      <x:c r="F46" s="67"/>
      <x:c r="G46" s="67"/>
      <x:c r="H46" s="67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52"/>
      <x:c r="D47" s="67"/>
      <x:c r="E47" s="67"/>
      <x:c r="F47" s="67"/>
      <x:c r="G47" s="67"/>
      <x:c r="H47" s="67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52"/>
      <x:c r="D48" s="67"/>
      <x:c r="E48" s="67"/>
      <x:c r="F48" s="67"/>
      <x:c r="G48" s="67"/>
      <x:c r="H48" s="67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52"/>
      <x:c r="D49" s="67"/>
      <x:c r="E49" s="67"/>
      <x:c r="F49" s="67"/>
      <x:c r="G49" s="67"/>
      <x:c r="H49" s="67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52"/>
      <x:c r="D50" s="67"/>
      <x:c r="E50" s="67"/>
      <x:c r="F50" s="67"/>
      <x:c r="G50" s="67"/>
      <x:c r="H50" s="67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52"/>
      <x:c r="D51" s="67"/>
      <x:c r="E51" s="67"/>
      <x:c r="F51" s="67"/>
      <x:c r="G51" s="67"/>
      <x:c r="H51" s="67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52"/>
      <x:c r="D52" s="67"/>
      <x:c r="E52" s="67"/>
      <x:c r="F52" s="67"/>
      <x:c r="G52" s="67"/>
      <x:c r="H52" s="67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52"/>
      <x:c r="D53" s="67"/>
      <x:c r="E53" s="67"/>
      <x:c r="F53" s="67"/>
      <x:c r="G53" s="67"/>
      <x:c r="H53" s="67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52"/>
      <x:c r="D54" s="67"/>
      <x:c r="E54" s="67"/>
      <x:c r="F54" s="67"/>
      <x:c r="G54" s="67"/>
      <x:c r="H54" s="67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52"/>
      <x:c r="D55" s="67"/>
      <x:c r="E55" s="67"/>
      <x:c r="F55" s="67"/>
      <x:c r="G55" s="67"/>
      <x:c r="H55" s="67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52"/>
      <x:c r="D56" s="67"/>
      <x:c r="E56" s="67"/>
      <x:c r="F56" s="67"/>
      <x:c r="G56" s="67"/>
      <x:c r="H56" s="67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52"/>
      <x:c r="D57" s="67"/>
      <x:c r="E57" s="67"/>
      <x:c r="F57" s="67"/>
      <x:c r="G57" s="67"/>
      <x:c r="H57" s="67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52"/>
      <x:c r="D58" s="67"/>
      <x:c r="E58" s="67"/>
      <x:c r="F58" s="67"/>
      <x:c r="G58" s="67"/>
      <x:c r="H58" s="67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52"/>
      <x:c r="D59" s="67"/>
      <x:c r="E59" s="67"/>
      <x:c r="F59" s="67"/>
      <x:c r="G59" s="67"/>
      <x:c r="H59" s="67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52"/>
      <x:c r="D60" s="67"/>
      <x:c r="E60" s="67"/>
      <x:c r="F60" s="67"/>
      <x:c r="G60" s="67"/>
      <x:c r="H60" s="67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10" max="10" width="2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26" t="str">
        <x:v>Detailed Financial Statements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27"/>
      <x:c r="D3" s="27"/>
      <x:c r="E3" s="27"/>
      <x:c r="F3" s="27"/>
      <x:c r="G3" s="27"/>
      <x:c r="H3" s="27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28" t="str">
        <x:v>Populate FY22-FY26 from the audited annual reports; £m except EPS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2" customHeight="1">
      <x:c r="A6" s="1"/>
      <x:c r="B6" s="1"/>
      <x:c r="C6" s="17" t="str">
        <x:v>Metric</x:v>
      </x:c>
      <x:c r="D6" s="29" t="str">
        <x:v>FY22</x:v>
      </x:c>
      <x:c r="E6" s="29" t="str">
        <x:v>FY23</x:v>
      </x:c>
      <x:c r="F6" s="29" t="str">
        <x:v>FY24</x:v>
      </x:c>
      <x:c r="G6" s="29" t="str">
        <x:v>FY25</x:v>
      </x:c>
      <x:c r="H6" s="18" t="str">
        <x:v>FY26</x:v>
      </x:c>
      <x:c r="I6" s="1"/>
      <x:c r="J6" s="32" t="str">
        <x:v>Source page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57" t="str">
        <x:v>Income statement</x:v>
      </x:c>
      <x:c r="D7" s="68"/>
      <x:c r="E7" s="68"/>
      <x:c r="F7" s="68"/>
      <x:c r="G7" s="68"/>
      <x:c r="H7" s="68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52" t="str">
        <x:v>Revenue</x:v>
      </x:c>
      <x:c r="D8" s="81"/>
      <x:c r="E8" s="81"/>
      <x:c r="F8" s="81"/>
      <x:c r="G8" s="81"/>
      <x:c r="H8" s="81"/>
      <x:c r="I8" s="1"/>
      <x:c r="J8" s="37" t="str">
        <x:v>Annual report / page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52" t="str">
        <x:v>Other income</x:v>
      </x:c>
      <x:c r="D9" s="81"/>
      <x:c r="E9" s="81"/>
      <x:c r="F9" s="81"/>
      <x:c r="G9" s="81"/>
      <x:c r="H9" s="81"/>
      <x:c r="I9" s="1"/>
      <x:c r="J9" s="37" t="str">
        <x:v>Annual report / page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52" t="str">
        <x:v>EBITDA</x:v>
      </x:c>
      <x:c r="D10" s="81"/>
      <x:c r="E10" s="81"/>
      <x:c r="F10" s="81"/>
      <x:c r="G10" s="81"/>
      <x:c r="H10" s="81"/>
      <x:c r="I10" s="1"/>
      <x:c r="J10" s="37" t="str">
        <x:v>Annual report / page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52" t="str">
        <x:v>Depreciation and amortisation</x:v>
      </x:c>
      <x:c r="D11" s="81"/>
      <x:c r="E11" s="81"/>
      <x:c r="F11" s="81"/>
      <x:c r="G11" s="81"/>
      <x:c r="H11" s="81"/>
      <x:c r="I11" s="1"/>
      <x:c r="J11" s="37" t="str">
        <x:v>Annual report / page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52" t="str">
        <x:v>Statutory operating profit/(loss)</x:v>
      </x:c>
      <x:c r="D12" s="81"/>
      <x:c r="E12" s="81"/>
      <x:c r="F12" s="81"/>
      <x:c r="G12" s="81"/>
      <x:c r="H12" s="81"/>
      <x:c r="I12" s="1"/>
      <x:c r="J12" s="37" t="str">
        <x:v>Annual report / page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52" t="str">
        <x:v>Underlying operating profit</x:v>
      </x:c>
      <x:c r="D13" s="81"/>
      <x:c r="E13" s="81"/>
      <x:c r="F13" s="81"/>
      <x:c r="G13" s="81"/>
      <x:c r="H13" s="81"/>
      <x:c r="I13" s="1"/>
      <x:c r="J13" s="37" t="str">
        <x:v>Annual report / page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52" t="str">
        <x:v>Net finance expense</x:v>
      </x:c>
      <x:c r="D14" s="81"/>
      <x:c r="E14" s="81"/>
      <x:c r="F14" s="81"/>
      <x:c r="G14" s="81"/>
      <x:c r="H14" s="81"/>
      <x:c r="I14" s="1"/>
      <x:c r="J14" s="37" t="str">
        <x:v>Annual report / page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52" t="str">
        <x:v>Profit/(loss) before tax</x:v>
      </x:c>
      <x:c r="D15" s="81"/>
      <x:c r="E15" s="81"/>
      <x:c r="F15" s="81"/>
      <x:c r="G15" s="81"/>
      <x:c r="H15" s="81"/>
      <x:c r="I15" s="1"/>
      <x:c r="J15" s="37" t="str">
        <x:v>Annual report / page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52" t="str">
        <x:v>Tax expense</x:v>
      </x:c>
      <x:c r="D16" s="81"/>
      <x:c r="E16" s="81"/>
      <x:c r="F16" s="81"/>
      <x:c r="G16" s="81"/>
      <x:c r="H16" s="81"/>
      <x:c r="I16" s="1"/>
      <x:c r="J16" s="37" t="str">
        <x:v>Annual report / page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52" t="str">
        <x:v>Net income</x:v>
      </x:c>
      <x:c r="D17" s="81"/>
      <x:c r="E17" s="81"/>
      <x:c r="F17" s="81"/>
      <x:c r="G17" s="81"/>
      <x:c r="H17" s="81"/>
      <x:c r="I17" s="1"/>
      <x:c r="J17" s="37" t="str">
        <x:v>Annual report / page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52" t="str">
        <x:v>Statutory EPS (p)</x:v>
      </x:c>
      <x:c r="D18" s="81"/>
      <x:c r="E18" s="81"/>
      <x:c r="F18" s="81"/>
      <x:c r="G18" s="81"/>
      <x:c r="H18" s="81"/>
      <x:c r="I18" s="1"/>
      <x:c r="J18" s="37" t="str">
        <x:v>Annual report / page</x:v>
      </x:c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52" t="str">
        <x:v>Underlying EPS (p)</x:v>
      </x:c>
      <x:c r="D19" s="81"/>
      <x:c r="E19" s="81"/>
      <x:c r="F19" s="81"/>
      <x:c r="G19" s="81"/>
      <x:c r="H19" s="81"/>
      <x:c r="I19" s="1"/>
      <x:c r="J19" s="37" t="str">
        <x:v>Annual report / page</x:v>
      </x:c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52"/>
      <x:c r="D20" s="75"/>
      <x:c r="E20" s="75"/>
      <x:c r="F20" s="75"/>
      <x:c r="G20" s="75"/>
      <x:c r="H20" s="75"/>
      <x:c r="I20" s="1"/>
      <x:c r="J20" s="37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57" t="str">
        <x:v>Balance sheet</x:v>
      </x:c>
      <x:c r="D21" s="82"/>
      <x:c r="E21" s="82"/>
      <x:c r="F21" s="82"/>
      <x:c r="G21" s="82"/>
      <x:c r="H21" s="82"/>
      <x:c r="I21" s="1"/>
      <x:c r="J21" s="37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52" t="str">
        <x:v>Cash and cash equivalents</x:v>
      </x:c>
      <x:c r="D22" s="81"/>
      <x:c r="E22" s="81"/>
      <x:c r="F22" s="81"/>
      <x:c r="G22" s="81"/>
      <x:c r="H22" s="81"/>
      <x:c r="I22" s="1"/>
      <x:c r="J22" s="37" t="str">
        <x:v>Annual report / page</x:v>
      </x:c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52" t="str">
        <x:v>Trade and other receivables</x:v>
      </x:c>
      <x:c r="D23" s="81"/>
      <x:c r="E23" s="81"/>
      <x:c r="F23" s="81"/>
      <x:c r="G23" s="81"/>
      <x:c r="H23" s="81"/>
      <x:c r="I23" s="1"/>
      <x:c r="J23" s="37" t="str">
        <x:v>Annual report / page</x:v>
      </x:c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52" t="str">
        <x:v>Contract assets</x:v>
      </x:c>
      <x:c r="D24" s="81"/>
      <x:c r="E24" s="81"/>
      <x:c r="F24" s="81"/>
      <x:c r="G24" s="81"/>
      <x:c r="H24" s="81"/>
      <x:c r="I24" s="1"/>
      <x:c r="J24" s="37" t="str">
        <x:v>Annual report / page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52" t="str">
        <x:v>Inventory</x:v>
      </x:c>
      <x:c r="D25" s="81"/>
      <x:c r="E25" s="81"/>
      <x:c r="F25" s="81"/>
      <x:c r="G25" s="81"/>
      <x:c r="H25" s="81"/>
      <x:c r="I25" s="1"/>
      <x:c r="J25" s="37" t="str">
        <x:v>Annual report / page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52" t="str">
        <x:v>Property, plant and equipment</x:v>
      </x:c>
      <x:c r="D26" s="81"/>
      <x:c r="E26" s="81"/>
      <x:c r="F26" s="81"/>
      <x:c r="G26" s="81"/>
      <x:c r="H26" s="81"/>
      <x:c r="I26" s="1"/>
      <x:c r="J26" s="37" t="str">
        <x:v>Annual report / page</x:v>
      </x:c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52" t="str">
        <x:v>Goodwill and intangible assets</x:v>
      </x:c>
      <x:c r="D27" s="81"/>
      <x:c r="E27" s="81"/>
      <x:c r="F27" s="81"/>
      <x:c r="G27" s="81"/>
      <x:c r="H27" s="81"/>
      <x:c r="I27" s="1"/>
      <x:c r="J27" s="37" t="str">
        <x:v>Annual report / page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52" t="str">
        <x:v>Total assets</x:v>
      </x:c>
      <x:c r="D28" s="81"/>
      <x:c r="E28" s="81"/>
      <x:c r="F28" s="81"/>
      <x:c r="G28" s="81"/>
      <x:c r="H28" s="81"/>
      <x:c r="I28" s="1"/>
      <x:c r="J28" s="37" t="str">
        <x:v>Annual report / page</x:v>
      </x:c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52" t="str">
        <x:v>Trade and other payables</x:v>
      </x:c>
      <x:c r="D29" s="81"/>
      <x:c r="E29" s="81"/>
      <x:c r="F29" s="81"/>
      <x:c r="G29" s="81"/>
      <x:c r="H29" s="81"/>
      <x:c r="I29" s="1"/>
      <x:c r="J29" s="37" t="str">
        <x:v>Annual report / page</x:v>
      </x:c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52" t="str">
        <x:v>Contract liabilities</x:v>
      </x:c>
      <x:c r="D30" s="81"/>
      <x:c r="E30" s="81"/>
      <x:c r="F30" s="81"/>
      <x:c r="G30" s="81"/>
      <x:c r="H30" s="81"/>
      <x:c r="I30" s="1"/>
      <x:c r="J30" s="37" t="str">
        <x:v>Annual report / page</x:v>
      </x:c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52" t="str">
        <x:v>Provisions</x:v>
      </x:c>
      <x:c r="D31" s="81"/>
      <x:c r="E31" s="81"/>
      <x:c r="F31" s="81"/>
      <x:c r="G31" s="81"/>
      <x:c r="H31" s="81"/>
      <x:c r="I31" s="1"/>
      <x:c r="J31" s="37" t="str">
        <x:v>Annual report / page</x:v>
      </x:c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52" t="str">
        <x:v>Borrowings</x:v>
      </x:c>
      <x:c r="D32" s="81"/>
      <x:c r="E32" s="81"/>
      <x:c r="F32" s="81"/>
      <x:c r="G32" s="81"/>
      <x:c r="H32" s="81"/>
      <x:c r="I32" s="1"/>
      <x:c r="J32" s="37" t="str">
        <x:v>Annual report / page</x:v>
      </x:c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52" t="str">
        <x:v>Total liabilities</x:v>
      </x:c>
      <x:c r="D33" s="81"/>
      <x:c r="E33" s="81"/>
      <x:c r="F33" s="81"/>
      <x:c r="G33" s="81"/>
      <x:c r="H33" s="81"/>
      <x:c r="I33" s="1"/>
      <x:c r="J33" s="37" t="str">
        <x:v>Annual report / page</x:v>
      </x:c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52" t="str">
        <x:v>Shareholders' equity</x:v>
      </x:c>
      <x:c r="D34" s="81"/>
      <x:c r="E34" s="81"/>
      <x:c r="F34" s="81"/>
      <x:c r="G34" s="81"/>
      <x:c r="H34" s="81"/>
      <x:c r="I34" s="1"/>
      <x:c r="J34" s="37" t="str">
        <x:v>Annual report / page</x:v>
      </x:c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79" t="str">
        <x:v>Balance-sheet check</x:v>
      </x:c>
      <x:c r="D35" s="83" t="str">
        <x:f>IF(COUNT(D28,D33,D34)=3,D28-D33-D34,"")</x:f>
      </x:c>
      <x:c r="E35" s="83" t="str">
        <x:f>IF(COUNT(E28,E33,E34)=3,E28-E33-E34,"")</x:f>
      </x:c>
      <x:c r="F35" s="83" t="str">
        <x:f>IF(COUNT(F28,F33,F34)=3,F28-F33-F34,"")</x:f>
      </x:c>
      <x:c r="G35" s="83" t="str">
        <x:f>IF(COUNT(G28,G33,G34)=3,G28-G33-G34,"")</x:f>
      </x:c>
      <x:c r="H35" s="83" t="str">
        <x:f>IF(COUNT(H28,H33,H34)=3,H28-H33-H34,"")</x:f>
      </x:c>
      <x:c r="I35" s="1"/>
      <x:c r="J35" s="37" t="str">
        <x:v>Annual report / page</x:v>
      </x:c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52"/>
      <x:c r="D36" s="75"/>
      <x:c r="E36" s="75"/>
      <x:c r="F36" s="75"/>
      <x:c r="G36" s="75"/>
      <x:c r="H36" s="75"/>
      <x:c r="I36" s="1"/>
      <x:c r="J36" s="37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57" t="str">
        <x:v>Cash-flow statement</x:v>
      </x:c>
      <x:c r="D37" s="82"/>
      <x:c r="E37" s="82"/>
      <x:c r="F37" s="82"/>
      <x:c r="G37" s="82"/>
      <x:c r="H37" s="82"/>
      <x:c r="I37" s="1"/>
      <x:c r="J37" s="37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52" t="str">
        <x:v>Net income</x:v>
      </x:c>
      <x:c r="D38" s="81"/>
      <x:c r="E38" s="81"/>
      <x:c r="F38" s="81"/>
      <x:c r="G38" s="81"/>
      <x:c r="H38" s="81"/>
      <x:c r="I38" s="1"/>
      <x:c r="J38" s="37" t="str">
        <x:v>Annual report / page</x:v>
      </x:c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52" t="str">
        <x:v>D&amp;A and impairments</x:v>
      </x:c>
      <x:c r="D39" s="81"/>
      <x:c r="E39" s="81"/>
      <x:c r="F39" s="81"/>
      <x:c r="G39" s="81"/>
      <x:c r="H39" s="81"/>
      <x:c r="I39" s="1"/>
      <x:c r="J39" s="37" t="str">
        <x:v>Annual report / page</x:v>
      </x:c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52" t="str">
        <x:v>Change in working capital</x:v>
      </x:c>
      <x:c r="D40" s="81"/>
      <x:c r="E40" s="81"/>
      <x:c r="F40" s="81"/>
      <x:c r="G40" s="81"/>
      <x:c r="H40" s="81"/>
      <x:c r="I40" s="1"/>
      <x:c r="J40" s="37" t="str">
        <x:v>Annual report / page</x:v>
      </x:c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52" t="str">
        <x:v>Other operating adjustments</x:v>
      </x:c>
      <x:c r="D41" s="81"/>
      <x:c r="E41" s="81"/>
      <x:c r="F41" s="81"/>
      <x:c r="G41" s="81"/>
      <x:c r="H41" s="81"/>
      <x:c r="I41" s="1"/>
      <x:c r="J41" s="37" t="str">
        <x:v>Annual report / page</x:v>
      </x:c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52" t="str">
        <x:v>Operating cash flow</x:v>
      </x:c>
      <x:c r="D42" s="81"/>
      <x:c r="E42" s="81"/>
      <x:c r="F42" s="81"/>
      <x:c r="G42" s="81"/>
      <x:c r="H42" s="81"/>
      <x:c r="I42" s="1"/>
      <x:c r="J42" s="37" t="str">
        <x:v>Annual report / page</x:v>
      </x:c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52" t="str">
        <x:v>Capital expenditure</x:v>
      </x:c>
      <x:c r="D43" s="81"/>
      <x:c r="E43" s="81"/>
      <x:c r="F43" s="81"/>
      <x:c r="G43" s="81"/>
      <x:c r="H43" s="81"/>
      <x:c r="I43" s="1"/>
      <x:c r="J43" s="37" t="str">
        <x:v>Annual report / page</x:v>
      </x:c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52" t="str">
        <x:v>Acquisitions and disposals</x:v>
      </x:c>
      <x:c r="D44" s="81"/>
      <x:c r="E44" s="81"/>
      <x:c r="F44" s="81"/>
      <x:c r="G44" s="81"/>
      <x:c r="H44" s="81"/>
      <x:c r="I44" s="1"/>
      <x:c r="J44" s="37" t="str">
        <x:v>Annual report / page</x:v>
      </x:c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52" t="str">
        <x:v>Investing cash flow</x:v>
      </x:c>
      <x:c r="D45" s="81"/>
      <x:c r="E45" s="81"/>
      <x:c r="F45" s="81"/>
      <x:c r="G45" s="81"/>
      <x:c r="H45" s="81"/>
      <x:c r="I45" s="1"/>
      <x:c r="J45" s="37" t="str">
        <x:v>Annual report / page</x:v>
      </x:c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52" t="str">
        <x:v>Debt movement</x:v>
      </x:c>
      <x:c r="D46" s="81"/>
      <x:c r="E46" s="81"/>
      <x:c r="F46" s="81"/>
      <x:c r="G46" s="81"/>
      <x:c r="H46" s="81"/>
      <x:c r="I46" s="1"/>
      <x:c r="J46" s="37" t="str">
        <x:v>Annual report / page</x:v>
      </x:c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52" t="str">
        <x:v>Dividends</x:v>
      </x:c>
      <x:c r="D47" s="81"/>
      <x:c r="E47" s="81"/>
      <x:c r="F47" s="81"/>
      <x:c r="G47" s="81"/>
      <x:c r="H47" s="81"/>
      <x:c r="I47" s="1"/>
      <x:c r="J47" s="37" t="str">
        <x:v>Annual report / page</x:v>
      </x:c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52" t="str">
        <x:v>Share buybacks</x:v>
      </x:c>
      <x:c r="D48" s="81"/>
      <x:c r="E48" s="81"/>
      <x:c r="F48" s="81"/>
      <x:c r="G48" s="81"/>
      <x:c r="H48" s="81"/>
      <x:c r="I48" s="1"/>
      <x:c r="J48" s="37" t="str">
        <x:v>Annual report / page</x:v>
      </x:c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52" t="str">
        <x:v>Financing cash flow</x:v>
      </x:c>
      <x:c r="D49" s="81"/>
      <x:c r="E49" s="81"/>
      <x:c r="F49" s="81"/>
      <x:c r="G49" s="81"/>
      <x:c r="H49" s="81"/>
      <x:c r="I49" s="1"/>
      <x:c r="J49" s="37" t="str">
        <x:v>Annual report / page</x:v>
      </x:c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52" t="str">
        <x:v>FX and other</x:v>
      </x:c>
      <x:c r="D50" s="81"/>
      <x:c r="E50" s="81"/>
      <x:c r="F50" s="81"/>
      <x:c r="G50" s="81"/>
      <x:c r="H50" s="81"/>
      <x:c r="I50" s="1"/>
      <x:c r="J50" s="37" t="str">
        <x:v>Annual report / page</x:v>
      </x:c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52" t="str">
        <x:v>Net change in cash</x:v>
      </x:c>
      <x:c r="D51" s="81"/>
      <x:c r="E51" s="81"/>
      <x:c r="F51" s="81"/>
      <x:c r="G51" s="81"/>
      <x:c r="H51" s="81"/>
      <x:c r="I51" s="1"/>
      <x:c r="J51" s="37" t="str">
        <x:v>Annual report / page</x:v>
      </x:c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52"/>
      <x:c r="D52" s="67"/>
      <x:c r="E52" s="67"/>
      <x:c r="F52" s="67"/>
      <x:c r="G52" s="67"/>
      <x:c r="H52" s="67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52"/>
      <x:c r="D53" s="67"/>
      <x:c r="E53" s="67"/>
      <x:c r="F53" s="67"/>
      <x:c r="G53" s="67"/>
      <x:c r="H53" s="67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52"/>
      <x:c r="D54" s="67"/>
      <x:c r="E54" s="67"/>
      <x:c r="F54" s="67"/>
      <x:c r="G54" s="67"/>
      <x:c r="H54" s="67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52"/>
      <x:c r="D55" s="67"/>
      <x:c r="E55" s="67"/>
      <x:c r="F55" s="67"/>
      <x:c r="G55" s="67"/>
      <x:c r="H55" s="67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52"/>
      <x:c r="D56" s="67"/>
      <x:c r="E56" s="67"/>
      <x:c r="F56" s="67"/>
      <x:c r="G56" s="67"/>
      <x:c r="H56" s="67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52"/>
      <x:c r="D57" s="67"/>
      <x:c r="E57" s="67"/>
      <x:c r="F57" s="67"/>
      <x:c r="G57" s="67"/>
      <x:c r="H57" s="67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52"/>
      <x:c r="D58" s="67"/>
      <x:c r="E58" s="67"/>
      <x:c r="F58" s="67"/>
      <x:c r="G58" s="67"/>
      <x:c r="H58" s="67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52"/>
      <x:c r="D59" s="67"/>
      <x:c r="E59" s="67"/>
      <x:c r="F59" s="67"/>
      <x:c r="G59" s="67"/>
      <x:c r="H59" s="67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52"/>
      <x:c r="D60" s="67"/>
      <x:c r="E60" s="67"/>
      <x:c r="F60" s="67"/>
      <x:c r="G60" s="67"/>
      <x:c r="H60" s="67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34" hidden="0" customWidth="1"/>
    <x:col min="5" max="5" width="16" hidden="0" customWidth="1"/>
    <x:col min="6" max="6" width="50" hidden="0" customWidth="1"/>
    <x:col min="7" max="7" width="28" hidden="0" customWidth="1"/>
    <x:col min="8" max="8" width="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26" t="str">
        <x:v>Sources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27"/>
      <x:c r="D3" s="27"/>
      <x:c r="E3" s="27"/>
      <x:c r="F3" s="27"/>
      <x:c r="G3" s="27"/>
      <x:c r="H3" s="27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28" t="str">
        <x:v>Primary documents used for historical data and current guidance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2" customHeight="1">
      <x:c r="A6" s="1"/>
      <x:c r="B6" s="1"/>
      <x:c r="C6" s="17" t="str">
        <x:v>ID</x:v>
      </x:c>
      <x:c r="D6" s="29" t="str">
        <x:v>Document</x:v>
      </x:c>
      <x:c r="E6" s="29" t="str">
        <x:v>Document date</x:v>
      </x:c>
      <x:c r="F6" s="29" t="str">
        <x:v>Used for</x:v>
      </x:c>
      <x:c r="G6" s="29" t="str">
        <x:v>Page / section</x:v>
      </x:c>
      <x:c r="H6" s="18" t="str">
        <x:v>URL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4" customHeight="1">
      <x:c r="A7" s="1"/>
      <x:c r="B7" s="1"/>
      <x:c r="C7" s="49" t="str">
        <x:v>S001</x:v>
      </x:c>
      <x:c r="D7" s="7" t="str">
        <x:v>FY26 Group Performance</x:v>
      </x:c>
      <x:c r="E7" s="50" t="n">
        <x:v>46163</x:v>
      </x:c>
      <x:c r="F7" s="7" t="str">
        <x:v>FY26 KPIs, outlook, backlog, capital allocation and US review</x:v>
      </x:c>
      <x:c r="G7" s="51" t="str">
        <x:v>FY26 results and outlook</x:v>
      </x:c>
      <x:c r="H7" s="51" t="str">
        <x:v>https://www.qinetiq.com/en/news/fy26-group-performance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4" customHeight="1">
      <x:c r="A8" s="1"/>
      <x:c r="B8" s="1"/>
      <x:c r="C8" s="49" t="str">
        <x:v>S002</x:v>
      </x:c>
      <x:c r="D8" s="7" t="str">
        <x:v>FY27 Q1 Trading Update</x:v>
      </x:c>
      <x:c r="E8" s="50" t="n">
        <x:v>46219</x:v>
      </x:c>
      <x:c r="F8" s="7" t="str">
        <x:v>Current guidance and US review timing</x:v>
      </x:c>
      <x:c r="G8" s="51" t="str">
        <x:v>Trading update</x:v>
      </x:c>
      <x:c r="H8" s="51" t="str">
        <x:v>https://www.qinetiq.com/en/news/q1-trading-update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4" customHeight="1">
      <x:c r="A9" s="1"/>
      <x:c r="B9" s="1"/>
      <x:c r="C9" s="49" t="str">
        <x:v>S003</x:v>
      </x:c>
      <x:c r="D9" s="7" t="str">
        <x:v>About the LTPA</x:v>
      </x:c>
      <x:c r="E9" s="50"/>
      <x:c r="F9" s="7" t="str">
        <x:v>LTPA structure, sites and barriers to entry</x:v>
      </x:c>
      <x:c r="G9" s="51" t="str">
        <x:v>About the LTPA</x:v>
      </x:c>
      <x:c r="H9" s="51" t="str">
        <x:v>https://www.qinetiq.com/en/what-we-do/test-and-training/test-and-evaluation/about-the-ltpa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4" customHeight="1">
      <x:c r="A10" s="1"/>
      <x:c r="B10" s="1"/>
      <x:c r="C10" s="49" t="str">
        <x:v>S004</x:v>
      </x:c>
      <x:c r="D10" s="7" t="str">
        <x:v>FY26 Full-Year Results</x:v>
      </x:c>
      <x:c r="E10" s="50" t="n">
        <x:v>46163</x:v>
      </x:c>
      <x:c r="F10" s="7" t="str">
        <x:v>Segments, orders, backlog, adjustments and accounting</x:v>
      </x:c>
      <x:c r="G10" s="51" t="str">
        <x:v>pp.3-15 and 23-36</x:v>
      </x:c>
      <x:c r="H10" s="51" t="str">
        <x:v>https://www.rns-pdf.londonstockexchange.com/rns/1743F_1-2026-5-20.pdf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4" customHeight="1">
      <x:c r="A11" s="1"/>
      <x:c r="B11" s="1"/>
      <x:c r="C11" s="49" t="str">
        <x:v>S005</x:v>
      </x:c>
      <x:c r="D11" s="7" t="str">
        <x:v>UK Parliament report on QinetiQ privatisation</x:v>
      </x:c>
      <x:c r="E11" s="50" t="n">
        <x:v>39609</x:v>
      </x:c>
      <x:c r="F11" s="7" t="str">
        <x:v>Company origins and DERA separation</x:v>
      </x:c>
      <x:c r="G11" s="51" t="str">
        <x:v>Paragraphs 1-3</x:v>
      </x:c>
      <x:c r="H11" s="51" t="str">
        <x:v>https://publications.parliament.uk/pa/cm200708/cmselect/cmpubacc/151/15105.htm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34" customHeight="1">
      <x:c r="A12" s="1"/>
      <x:c r="B12" s="1"/>
      <x:c r="C12" s="49" t="str">
        <x:v>S006</x:v>
      </x:c>
      <x:c r="D12" s="7" t="str">
        <x:v>Annual Report and Accounts 2026</x:v>
      </x:c>
      <x:c r="E12" s="50" t="n">
        <x:v>46163</x:v>
      </x:c>
      <x:c r="F12" s="7" t="str">
        <x:v>Five-year summary, customer mix and detailed accounts</x:v>
      </x:c>
      <x:c r="G12" s="51" t="str">
        <x:v>pp.31, 159-160 and 216-217</x:v>
      </x:c>
      <x:c r="H12" s="51" t="str">
        <x:v>https://companiesmarketcap.com/annual-reports/56328.ar.en.2026.pdf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</x:sheetData>
  <x:pageMargins left="0.7" right="0.7" top="0.75" bottom="0.75" header="0.3" footer="0.3"/>
</x:worksheet>
</file>