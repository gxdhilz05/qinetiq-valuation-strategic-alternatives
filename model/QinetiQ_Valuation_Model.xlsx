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Historical Summary" sheetId="2" state="visible" r:id="rId4"/>
    <sheet name="Segments" sheetId="3" state="visible" r:id="rId5"/>
    <sheet name="Statements" sheetId="4" state="visible" r:id="rId6"/>
    <sheet name="Sources" sheetId="5" state="visible" r:id="rId7"/>
    <sheet name="Forecast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</author>
  </authors>
  <commentList>
    <comment ref="B6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5</xdr:row>
                <xdr:rowOff>2</xdr:rowOff>
              </xdr:from>
              <xdr:to>
                <xdr:col>3</xdr:col>
                <xdr:colOff>15</xdr:colOff>
                <xdr:row>9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6</xdr:row>
                <xdr:rowOff>2</xdr:rowOff>
              </xdr:from>
              <xdr:to>
                <xdr:col>3</xdr:col>
                <xdr:colOff>15</xdr:colOff>
                <xdr:row>10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7</xdr:row>
                <xdr:rowOff>2</xdr:rowOff>
              </xdr:from>
              <xdr:to>
                <xdr:col>3</xdr:col>
                <xdr:colOff>15</xdr:colOff>
                <xdr:row>11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8</xdr:row>
                <xdr:rowOff>2</xdr:rowOff>
              </xdr:from>
              <xdr:to>
                <xdr:col>3</xdr:col>
                <xdr:colOff>15</xdr:colOff>
                <xdr:row>12</xdr:row>
                <xdr:rowOff>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FY26A segment revenue starting point.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14</xdr:row>
                <xdr:rowOff>2</xdr:rowOff>
              </xdr:from>
              <xdr:to>
                <xdr:col>3</xdr:col>
                <xdr:colOff>15</xdr:colOff>
                <xdr:row>18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FY26A segment revenue starting point.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15</xdr:row>
                <xdr:rowOff>2</xdr:rowOff>
              </xdr:from>
              <xdr:to>
                <xdr:col>3</xdr:col>
                <xdr:colOff>15</xdr:colOff>
                <xdr:row>19</xdr:row>
                <xdr:rowOff>2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5</xdr:row>
                <xdr:rowOff>2</xdr:rowOff>
              </xdr:from>
              <xdr:to>
                <xdr:col>4</xdr:col>
                <xdr:colOff>15</xdr:colOff>
                <xdr:row>9</xdr:row>
                <xdr:rowOff>2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6</xdr:row>
                <xdr:rowOff>2</xdr:rowOff>
              </xdr:from>
              <xdr:to>
                <xdr:col>4</xdr:col>
                <xdr:colOff>15</xdr:colOff>
                <xdr:row>10</xdr:row>
                <xdr:rowOff>2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7</xdr:row>
                <xdr:rowOff>2</xdr:rowOff>
              </xdr:from>
              <xdr:to>
                <xdr:col>4</xdr:col>
                <xdr:colOff>15</xdr:colOff>
                <xdr:row>11</xdr:row>
                <xdr:rowOff>2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8</xdr:row>
                <xdr:rowOff>2</xdr:rowOff>
              </xdr:from>
              <xdr:to>
                <xdr:col>4</xdr:col>
                <xdr:colOff>15</xdr:colOff>
                <xdr:row>12</xdr:row>
                <xdr:rowOff>2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5</xdr:row>
                <xdr:rowOff>2</xdr:rowOff>
              </xdr:from>
              <xdr:to>
                <xdr:col>5</xdr:col>
                <xdr:colOff>15</xdr:colOff>
                <xdr:row>9</xdr:row>
                <xdr:rowOff>2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6</xdr:row>
                <xdr:rowOff>2</xdr:rowOff>
              </xdr:from>
              <xdr:to>
                <xdr:col>5</xdr:col>
                <xdr:colOff>15</xdr:colOff>
                <xdr:row>10</xdr:row>
                <xdr:rowOff>2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7</xdr:row>
                <xdr:rowOff>2</xdr:rowOff>
              </xdr:from>
              <xdr:to>
                <xdr:col>5</xdr:col>
                <xdr:colOff>15</xdr:colOff>
                <xdr:row>11</xdr:row>
                <xdr:rowOff>2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15</xdr:colOff>
                <xdr:row>8</xdr:row>
                <xdr:rowOff>2</xdr:rowOff>
              </xdr:from>
              <xdr:to>
                <xdr:col>5</xdr:col>
                <xdr:colOff>15</xdr:colOff>
                <xdr:row>12</xdr:row>
                <xdr:rowOff>2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5</xdr:row>
                <xdr:rowOff>2</xdr:rowOff>
              </xdr:from>
              <xdr:to>
                <xdr:col>6</xdr:col>
                <xdr:colOff>15</xdr:colOff>
                <xdr:row>9</xdr:row>
                <xdr:rowOff>2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6</xdr:row>
                <xdr:rowOff>2</xdr:rowOff>
              </xdr:from>
              <xdr:to>
                <xdr:col>6</xdr:col>
                <xdr:colOff>15</xdr:colOff>
                <xdr:row>10</xdr:row>
                <xdr:rowOff>2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7</xdr:row>
                <xdr:rowOff>2</xdr:rowOff>
              </xdr:from>
              <xdr:to>
                <xdr:col>6</xdr:col>
                <xdr:colOff>15</xdr:colOff>
                <xdr:row>11</xdr:row>
                <xdr:rowOff>2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8</xdr:row>
                <xdr:rowOff>2</xdr:rowOff>
              </xdr:from>
              <xdr:to>
                <xdr:col>6</xdr:col>
                <xdr:colOff>15</xdr:colOff>
                <xdr:row>12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5</xdr:row>
                <xdr:rowOff>2</xdr:rowOff>
              </xdr:from>
              <xdr:to>
                <xdr:col>7</xdr:col>
                <xdr:colOff>15</xdr:colOff>
                <xdr:row>9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6</xdr:row>
                <xdr:rowOff>2</xdr:rowOff>
              </xdr:from>
              <xdr:to>
                <xdr:col>7</xdr:col>
                <xdr:colOff>15</xdr:colOff>
                <xdr:row>10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7</xdr:row>
                <xdr:rowOff>2</xdr:rowOff>
              </xdr:from>
              <xdr:to>
                <xdr:col>7</xdr:col>
                <xdr:colOff>15</xdr:colOff>
                <xdr:row>11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Base-case assumption from research/forecast_assumptions.md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15</xdr:colOff>
                <xdr:row>8</xdr:row>
                <xdr:rowOff>2</xdr:rowOff>
              </xdr:from>
              <xdr:to>
                <xdr:col>7</xdr:col>
                <xdr:colOff>15</xdr:colOff>
                <xdr:row>12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<sst xmlns="http://schemas.openxmlformats.org/spreadsheetml/2006/main" count="317" uniqueCount="233">
  <si>
    <t xml:space="preserve">QinetiQ Valuation and US Strategic Review</t>
  </si>
  <si>
    <t xml:space="preserve">Project question</t>
  </si>
  <si>
    <t xml:space="preserve">What is QinetiQ worth, and should management retain, restructure or sell the US business?</t>
  </si>
  <si>
    <t xml:space="preserve">Version</t>
  </si>
  <si>
    <t xml:space="preserve">0.3</t>
  </si>
  <si>
    <t xml:space="preserve">As of</t>
  </si>
  <si>
    <t xml:space="preserve">Current stage</t>
  </si>
  <si>
    <t xml:space="preserve">Base-case UFCF forecast complete</t>
  </si>
  <si>
    <t xml:space="preserve">Units</t>
  </si>
  <si>
    <t xml:space="preserve">£m except per-share data</t>
  </si>
  <si>
    <t xml:space="preserve">Financial-year definition</t>
  </si>
  <si>
    <t xml:space="preserve">FY means financial year. QinetiQ's FY26 is the 12 months ended 31 March 2026, covering 1 April 2025 to 31 March 2026.</t>
  </si>
  <si>
    <t xml:space="preserve">Sheet</t>
  </si>
  <si>
    <t xml:space="preserve">Purpose</t>
  </si>
  <si>
    <t xml:space="preserve">Historical Summary</t>
  </si>
  <si>
    <t xml:space="preserve">Five-year headline financial and operating trends</t>
  </si>
  <si>
    <t xml:space="preserve">Segments</t>
  </si>
  <si>
    <t xml:space="preserve">EMEA Services and Global Solutions performance</t>
  </si>
  <si>
    <t xml:space="preserve">Statements</t>
  </si>
  <si>
    <t xml:space="preserve">Detailed income statement, balance sheet and cash-flow inputs</t>
  </si>
  <si>
    <t xml:space="preserve">Sources</t>
  </si>
  <si>
    <t xml:space="preserve">Documents, links and page references</t>
  </si>
  <si>
    <t xml:space="preserve">Modelling conventions</t>
  </si>
  <si>
    <t xml:space="preserve">Blue font: hardcoded source input</t>
  </si>
  <si>
    <t xml:space="preserve">Black font: same-sheet formula</t>
  </si>
  <si>
    <t xml:space="preserve">Green font: cross-sheet link</t>
  </si>
  <si>
    <t xml:space="preserve">Yellow fill: source input still required</t>
  </si>
  <si>
    <t xml:space="preserve">FY22-FY26 actual results; £m except EPS and ratios</t>
  </si>
  <si>
    <t xml:space="preserve">Metric</t>
  </si>
  <si>
    <t xml:space="preserve">FY22</t>
  </si>
  <si>
    <t xml:space="preserve">FY23</t>
  </si>
  <si>
    <t xml:space="preserve">FY24</t>
  </si>
  <si>
    <t xml:space="preserve">FY25</t>
  </si>
  <si>
    <t xml:space="preserve">FY26</t>
  </si>
  <si>
    <t xml:space="preserve">Source / note</t>
  </si>
  <si>
    <t xml:space="preserve">Revenue</t>
  </si>
  <si>
    <t xml:space="preserve">S006, p.216</t>
  </si>
  <si>
    <t xml:space="preserve">  Revenue growth</t>
  </si>
  <si>
    <t xml:space="preserve">Calculated</t>
  </si>
  <si>
    <t xml:space="preserve">Segment operating profit</t>
  </si>
  <si>
    <t xml:space="preserve">  Segment operating margin</t>
  </si>
  <si>
    <t xml:space="preserve">Underlying EPS (p)</t>
  </si>
  <si>
    <t xml:space="preserve">Underlying net cash flow from operations</t>
  </si>
  <si>
    <t xml:space="preserve">Net cash/(debt)</t>
  </si>
  <si>
    <t xml:space="preserve">Orders excluding LTPA amendments/extensions</t>
  </si>
  <si>
    <t xml:space="preserve">  Orders/revenue</t>
  </si>
  <si>
    <t xml:space="preserve">Calculated; not management's adjusted book-to-bill</t>
  </si>
  <si>
    <t xml:space="preserve">Funded order backlog</t>
  </si>
  <si>
    <t xml:space="preserve">S001 / S006</t>
  </si>
  <si>
    <t xml:space="preserve">Reconciliation checks</t>
  </si>
  <si>
    <t xml:space="preserve">FY26 segment revenue difference</t>
  </si>
  <si>
    <t xml:space="preserve">FY26 segment operating profit difference</t>
  </si>
  <si>
    <t xml:space="preserve">Segment Performance</t>
  </si>
  <si>
    <t xml:space="preserve">EMEA Services and Global Solutions; FY22-FY26 actual results (£m)</t>
  </si>
  <si>
    <t xml:space="preserve">  Total segment revenue</t>
  </si>
  <si>
    <t xml:space="preserve">  EMEA Services</t>
  </si>
  <si>
    <t xml:space="preserve">  Global Solutions</t>
  </si>
  <si>
    <t xml:space="preserve">  EMEA revenue growth</t>
  </si>
  <si>
    <t xml:space="preserve">  Global Solutions revenue growth</t>
  </si>
  <si>
    <t xml:space="preserve">Operating profit</t>
  </si>
  <si>
    <t xml:space="preserve">  Total segment operating profit</t>
  </si>
  <si>
    <t xml:space="preserve">  Group segment margin</t>
  </si>
  <si>
    <t xml:space="preserve">  EMEA margin</t>
  </si>
  <si>
    <t xml:space="preserve">  Global Solutions margin</t>
  </si>
  <si>
    <t xml:space="preserve">Revenue mix</t>
  </si>
  <si>
    <t xml:space="preserve">  EMEA share of revenue</t>
  </si>
  <si>
    <t xml:space="preserve">Source</t>
  </si>
  <si>
    <t xml:space="preserve">QinetiQ Annual Report and Accounts 2026, five-year financial summary, p.216</t>
  </si>
  <si>
    <t xml:space="preserve">Detailed Financial Statements</t>
  </si>
  <si>
    <t xml:space="preserve">Audited FY22-FY26 consolidated actuals; £m except EPS</t>
  </si>
  <si>
    <t xml:space="preserve">Source page</t>
  </si>
  <si>
    <t xml:space="preserve">Income statement</t>
  </si>
  <si>
    <t xml:space="preserve">S008 p172; S007 p144; S006 p156</t>
  </si>
  <si>
    <t xml:space="preserve">Other income</t>
  </si>
  <si>
    <t xml:space="preserve">EBITDA</t>
  </si>
  <si>
    <t xml:space="preserve">Statutory D&amp;A and non-current asset impairments</t>
  </si>
  <si>
    <t xml:space="preserve">Statutory operating profit/(loss)</t>
  </si>
  <si>
    <t xml:space="preserve">Underlying operating profit (incl. RDEC)</t>
  </si>
  <si>
    <t xml:space="preserve">Net finance and other non-operating expense/(income)</t>
  </si>
  <si>
    <t xml:space="preserve">Profit/(loss) before tax</t>
  </si>
  <si>
    <t xml:space="preserve">Tax expense/(income)</t>
  </si>
  <si>
    <t xml:space="preserve">Profit/(loss) for the year</t>
  </si>
  <si>
    <t xml:space="preserve">Statutory EPS (p)</t>
  </si>
  <si>
    <t xml:space="preserve">Balance sheet</t>
  </si>
  <si>
    <t xml:space="preserve">Cash and cash equivalents</t>
  </si>
  <si>
    <t xml:space="preserve">S008 p174; S007 p146; S006 p158</t>
  </si>
  <si>
    <t xml:space="preserve">Trade and other receivables</t>
  </si>
  <si>
    <t xml:space="preserve">S008 p192; S007 p162; S006 p175</t>
  </si>
  <si>
    <t xml:space="preserve">of which: contract assets</t>
  </si>
  <si>
    <t xml:space="preserve">Inventory</t>
  </si>
  <si>
    <t xml:space="preserve">Property, plant and equipment</t>
  </si>
  <si>
    <t xml:space="preserve">Goodwill and intangible assets</t>
  </si>
  <si>
    <t xml:space="preserve">Total assets</t>
  </si>
  <si>
    <t xml:space="preserve">Current trade and other payables</t>
  </si>
  <si>
    <t xml:space="preserve">of which: current contract liabilities</t>
  </si>
  <si>
    <t xml:space="preserve">S008 p193; S007 p163; S006 p176</t>
  </si>
  <si>
    <t xml:space="preserve">Provisions (current and non-current)</t>
  </si>
  <si>
    <t xml:space="preserve">Borrowings and other financial liabilities</t>
  </si>
  <si>
    <t xml:space="preserve">Total liabilities</t>
  </si>
  <si>
    <t xml:space="preserve">Total equity</t>
  </si>
  <si>
    <t xml:space="preserve">Balance-sheet check</t>
  </si>
  <si>
    <t xml:space="preserve">Calculated: assets - liabilities - equity</t>
  </si>
  <si>
    <t xml:space="preserve">Cash-flow statement</t>
  </si>
  <si>
    <t xml:space="preserve">S008 p195; S007 p164; S006 pp176-177</t>
  </si>
  <si>
    <t xml:space="preserve">D&amp;A and impairments</t>
  </si>
  <si>
    <t xml:space="preserve">Change in working capital</t>
  </si>
  <si>
    <t xml:space="preserve">Other operating adjustments, cash tax and interest</t>
  </si>
  <si>
    <t xml:space="preserve">Net cash from operating activities</t>
  </si>
  <si>
    <t xml:space="preserve">Capital expenditure</t>
  </si>
  <si>
    <t xml:space="preserve">S008 p175; S007 p147; S006 p159</t>
  </si>
  <si>
    <t xml:space="preserve">Other investing cash flow</t>
  </si>
  <si>
    <t xml:space="preserve">Net investing cash flow</t>
  </si>
  <si>
    <t xml:space="preserve">Debt, leases, fees and hedges</t>
  </si>
  <si>
    <t xml:space="preserve">Dividends</t>
  </si>
  <si>
    <t xml:space="preserve">Share buybacks</t>
  </si>
  <si>
    <t xml:space="preserve">Net financing cash flow</t>
  </si>
  <si>
    <t xml:space="preserve">FX impact on cash</t>
  </si>
  <si>
    <t xml:space="preserve">Net change in cash after FX</t>
  </si>
  <si>
    <t xml:space="preserve">Cash-flow check</t>
  </si>
  <si>
    <t xml:space="preserve">Calculated: cash movement vs balance sheet</t>
  </si>
  <si>
    <t xml:space="preserve">Primary documents used for historical data and current guidance</t>
  </si>
  <si>
    <t xml:space="preserve">ID</t>
  </si>
  <si>
    <t xml:space="preserve">Document</t>
  </si>
  <si>
    <t xml:space="preserve">Document date</t>
  </si>
  <si>
    <t xml:space="preserve">Used for</t>
  </si>
  <si>
    <t xml:space="preserve">Page / section</t>
  </si>
  <si>
    <t xml:space="preserve">URL</t>
  </si>
  <si>
    <t xml:space="preserve">S001</t>
  </si>
  <si>
    <t xml:space="preserve">FY26 Group Performance</t>
  </si>
  <si>
    <t xml:space="preserve">FY26 KPIs, outlook, backlog, capital allocation and US review</t>
  </si>
  <si>
    <t xml:space="preserve">FY26 results and outlook</t>
  </si>
  <si>
    <t xml:space="preserve">https://www.qinetiq.com/en/news/fy26-group-performance</t>
  </si>
  <si>
    <t xml:space="preserve">S002</t>
  </si>
  <si>
    <t xml:space="preserve">FY27 Q1 Trading Update</t>
  </si>
  <si>
    <t xml:space="preserve">Current guidance and US review timing</t>
  </si>
  <si>
    <t xml:space="preserve">Trading update</t>
  </si>
  <si>
    <t xml:space="preserve">https://www.qinetiq.com/en/news/q1-trading-update</t>
  </si>
  <si>
    <t xml:space="preserve">S003</t>
  </si>
  <si>
    <t xml:space="preserve">About the LTPA</t>
  </si>
  <si>
    <t xml:space="preserve">LTPA structure, sites and barriers to entry</t>
  </si>
  <si>
    <t xml:space="preserve">https://www.qinetiq.com/en/what-we-do/test-and-training/test-and-evaluation/about-the-ltpa</t>
  </si>
  <si>
    <t xml:space="preserve">S004</t>
  </si>
  <si>
    <t xml:space="preserve">FY26 Full-Year Results</t>
  </si>
  <si>
    <t xml:space="preserve">Segments, orders, backlog, adjustments and accounting</t>
  </si>
  <si>
    <t xml:space="preserve">pp.3-15 and 23-36</t>
  </si>
  <si>
    <t xml:space="preserve">https://www.rns-pdf.londonstockexchange.com/rns/1743F_1-2026-5-20.pdf</t>
  </si>
  <si>
    <t xml:space="preserve">S005</t>
  </si>
  <si>
    <t xml:space="preserve">UK Parliament report on QinetiQ privatisation</t>
  </si>
  <si>
    <t xml:space="preserve">Company origins and DERA separation</t>
  </si>
  <si>
    <t xml:space="preserve">Paragraphs 1-3</t>
  </si>
  <si>
    <t xml:space="preserve">https://publications.parliament.uk/pa/cm200708/cmselect/cmpubacc/151/15105.htm</t>
  </si>
  <si>
    <t xml:space="preserve">S006</t>
  </si>
  <si>
    <t xml:space="preserve">Annual Report and Accounts 2026</t>
  </si>
  <si>
    <t xml:space="preserve">Five-year summary, customer mix and detailed accounts</t>
  </si>
  <si>
    <t xml:space="preserve">pp.31, 159-160 and 216-217</t>
  </si>
  <si>
    <t xml:space="preserve">https://companiesmarketcap.com/annual-reports/56328.ar.en.2026.pdf</t>
  </si>
  <si>
    <t xml:space="preserve">S007</t>
  </si>
  <si>
    <t xml:space="preserve">Annual Report and Accounts 2025</t>
  </si>
  <si>
    <t xml:space="preserve">FY24-FY25 audited statements and cash-flow reconciliation</t>
  </si>
  <si>
    <t xml:space="preserve">pp.144, 146-147 and 162-164</t>
  </si>
  <si>
    <t xml:space="preserve">https://www.qinetiq.com/-/media/7bd40d12009a456282f3aa28fff305ab.ashx</t>
  </si>
  <si>
    <t xml:space="preserve">S008</t>
  </si>
  <si>
    <t xml:space="preserve">Annual Report and Accounts 2023</t>
  </si>
  <si>
    <t xml:space="preserve">FY22-FY23 restated audited statements and cash-flow reconciliation</t>
  </si>
  <si>
    <t xml:space="preserve">pp.172, 174-175 and 192-195</t>
  </si>
  <si>
    <t xml:space="preserve">https://www.annualreports.com/HostedData/AnnualReportArchive/q/LSE_QQ.L_2023.pdf</t>
  </si>
  <si>
    <t xml:space="preserve">S009</t>
  </si>
  <si>
    <t xml:space="preserve">Annual Report and Accounts 2024</t>
  </si>
  <si>
    <t xml:space="preserve">FY24 D&amp;A, tax, capital expenditure and working capital</t>
  </si>
  <si>
    <t xml:space="preserve">pp.142-146 and cash-flow note</t>
  </si>
  <si>
    <t xml:space="preserve">https://www.annualreports.com/HostedData/AnnualReportArchive/q/LSE_QQ.L_2024.pdf</t>
  </si>
  <si>
    <t xml:space="preserve">S010</t>
  </si>
  <si>
    <t xml:space="preserve">Annual Report and Accounts 2022</t>
  </si>
  <si>
    <t xml:space="preserve">FY22 D&amp;A, tax, capital expenditure and working capital</t>
  </si>
  <si>
    <t xml:space="preserve">pp.149-153 and cash-flow note</t>
  </si>
  <si>
    <t xml:space="preserve">https://www.annualreports.com/HostedData/AnnualReportArchive/q/LSE_QQ.L_2022.pdf</t>
  </si>
  <si>
    <t xml:space="preserve">QinetiQ Base-Case Forecast</t>
  </si>
  <si>
    <t xml:space="preserve">Retain Global Solutions with limited improvement | £m except percentages</t>
  </si>
  <si>
    <t xml:space="preserve">Forecast assumptions</t>
  </si>
  <si>
    <t xml:space="preserve">Assumption</t>
  </si>
  <si>
    <t xml:space="preserve">FY27E</t>
  </si>
  <si>
    <t xml:space="preserve">FY28E</t>
  </si>
  <si>
    <t xml:space="preserve">FY29E</t>
  </si>
  <si>
    <t xml:space="preserve">FY30E</t>
  </si>
  <si>
    <t xml:space="preserve">FY31E</t>
  </si>
  <si>
    <t xml:space="preserve">EMEA revenue growth</t>
  </si>
  <si>
    <t xml:space="preserve">Global Solutions revenue growth</t>
  </si>
  <si>
    <t xml:space="preserve">EMEA operating margin</t>
  </si>
  <si>
    <t xml:space="preserve">Global Solutions operating margin</t>
  </si>
  <si>
    <t xml:space="preserve">FY26A segment revenue starting points: EMEA £1,529.2m; Global Solutions £393.4m. Forecast assumptions are sourced from research/forecast_assumptions.md.</t>
  </si>
  <si>
    <t xml:space="preserve">Calculated forecast</t>
  </si>
  <si>
    <t xml:space="preserve">£m except percentages</t>
  </si>
  <si>
    <t xml:space="preserve">FY26A</t>
  </si>
  <si>
    <t xml:space="preserve">EMEA revenue</t>
  </si>
  <si>
    <t xml:space="preserve">Global Solutions revenue</t>
  </si>
  <si>
    <t xml:space="preserve">Group revenue</t>
  </si>
  <si>
    <t xml:space="preserve">Group revenue growth</t>
  </si>
  <si>
    <t xml:space="preserve">EMEA operating profit</t>
  </si>
  <si>
    <t xml:space="preserve">Global Solutions operating profit</t>
  </si>
  <si>
    <t xml:space="preserve">Group operating profit</t>
  </si>
  <si>
    <t xml:space="preserve">Group operating margin</t>
  </si>
  <si>
    <t xml:space="preserve">Model checks</t>
  </si>
  <si>
    <t xml:space="preserve">Revenue build check</t>
  </si>
  <si>
    <t xml:space="preserve">Operating profit build check</t>
  </si>
  <si>
    <t xml:space="preserve">Historical UFCF calibration</t>
  </si>
  <si>
    <t xml:space="preserve">FY22A</t>
  </si>
  <si>
    <t xml:space="preserve">FY23A</t>
  </si>
  <si>
    <t xml:space="preserve">FY24A</t>
  </si>
  <si>
    <t xml:space="preserve">FY25A</t>
  </si>
  <si>
    <t xml:space="preserve">Underlying D&amp;A (excludes acquisition amortisation and impairments)</t>
  </si>
  <si>
    <t xml:space="preserve">Underlying D&amp;A / revenue</t>
  </si>
  <si>
    <t xml:space="preserve">Gross capital expenditure</t>
  </si>
  <si>
    <t xml:space="preserve">Capital expenditure / revenue</t>
  </si>
  <si>
    <t xml:space="preserve">Cash-flow working-capital movement (source positive)</t>
  </si>
  <si>
    <t xml:space="preserve">Cash tax paid</t>
  </si>
  <si>
    <t xml:space="preserve">Underlying effective tax rate</t>
  </si>
  <si>
    <t xml:space="preserve">Source: QinetiQ FY22-FY26 annual reports. D&amp;A is underlying; CapEx is cash purchases of PPE plus intangibles.</t>
  </si>
  <si>
    <t xml:space="preserve">UFCF forecast assumptions</t>
  </si>
  <si>
    <t xml:space="preserve">Cash tax rate</t>
  </si>
  <si>
    <t xml:space="preserve">D&amp;A / revenue</t>
  </si>
  <si>
    <t xml:space="preserve">NWC investment / change in revenue</t>
  </si>
  <si>
    <t xml:space="preserve">Assumptions are normalized rather than copied from any single year; detailed rationale is in research/forecast_assumptions.md.</t>
  </si>
  <si>
    <t xml:space="preserve">Formula-driven UFCF forecast</t>
  </si>
  <si>
    <t xml:space="preserve">EBIT (group operating profit)</t>
  </si>
  <si>
    <t xml:space="preserve">NOPAT</t>
  </si>
  <si>
    <t xml:space="preserve">D&amp;A add-back</t>
  </si>
  <si>
    <t xml:space="preserve">Change in net working capital</t>
  </si>
  <si>
    <t xml:space="preserve">UFCF</t>
  </si>
  <si>
    <t xml:space="preserve">FY27-FY29 cumulative UFCF</t>
  </si>
  <si>
    <t xml:space="preserve">Management FY27-FY29 FCF target (sense check)</t>
  </si>
  <si>
    <t xml:space="preserve">Headroom / (shortfall)</t>
  </si>
  <si>
    <t xml:space="preserve">Note</t>
  </si>
  <si>
    <t xml:space="preserve">Management FCF includes interest and exceptional cash items, so this is a directional—not like-for-like—check.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</si>
</sst>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\-mmm\-yyyy"/>
    <numFmt numFmtId="166" formatCode="#,##0.0;\(#,##0.0\);\-"/>
    <numFmt numFmtId="167" formatCode="0.0%;\(0.0%\);\-"/>
    <numFmt numFmtId="168" formatCode="0.0\x"/>
    <numFmt numFmtId="169" formatCode="0.00;\(0.00\);0.00"/>
    <numFmt numFmtId="170" formatCode="0.00;\(0.00\);\-"/>
    <numFmt numFmtId="171" formatCode="0.0%"/>
    <numFmt numFmtId="172" formatCode="#,##0.0;[RED]\(#,##0.0\);\-"/>
    <numFmt numFmtId="173" formatCode="0.0;[RED]\(0.0\);\-"/>
  </numFmts>
  <fonts count="28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sz val="10"/>
      <color rgb="FF222222"/>
      <name val="Arial"/>
      <family val="0"/>
      <charset val="1"/>
    </font>
    <font>
      <b val="true"/>
      <sz val="16"/>
      <color rgb="FF17365D"/>
      <name val="Arial"/>
      <family val="0"/>
      <charset val="1"/>
    </font>
    <font>
      <b val="true"/>
      <sz val="10"/>
      <color rgb="FF17365D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17365D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222222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10"/>
      <color rgb="FF222222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i val="true"/>
      <sz val="10"/>
      <color rgb="FF666666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17365D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9EAF7"/>
        <bgColor rgb="FFD9E2F3"/>
      </patternFill>
    </fill>
    <fill>
      <patternFill patternType="solid">
        <fgColor rgb="FF17365D"/>
        <bgColor rgb="FF1F4E78"/>
      </patternFill>
    </fill>
    <fill>
      <patternFill patternType="solid">
        <fgColor rgb="FFE7E6E6"/>
        <bgColor rgb="FFE2F0D9"/>
      </patternFill>
    </fill>
    <fill>
      <patternFill patternType="solid">
        <fgColor rgb="FFFFFFFF"/>
        <bgColor rgb="FFEAF2F8"/>
      </patternFill>
    </fill>
    <fill>
      <patternFill patternType="solid">
        <fgColor rgb="FFFFF2CC"/>
        <bgColor rgb="FFE2F0D9"/>
      </patternFill>
    </fill>
    <fill>
      <patternFill patternType="solid">
        <fgColor rgb="FF4472C4"/>
        <bgColor rgb="FF666666"/>
      </patternFill>
    </fill>
    <fill>
      <patternFill patternType="solid">
        <fgColor rgb="FFE2F0D9"/>
        <bgColor rgb="FFE7E6E6"/>
      </patternFill>
    </fill>
    <fill>
      <patternFill patternType="solid">
        <fgColor rgb="FF1F4E78"/>
        <bgColor rgb="FF17365D"/>
      </patternFill>
    </fill>
    <fill>
      <patternFill patternType="solid">
        <fgColor rgb="FFEAF2F8"/>
        <bgColor rgb="FFE7E6E6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472C4"/>
      </bottom>
      <diagonal/>
    </border>
    <border diagonalUp="false" diagonalDown="false">
      <left/>
      <right/>
      <top/>
      <bottom style="thin">
        <color rgb="FF4472C4"/>
      </bottom>
      <diagonal/>
    </border>
    <border diagonalUp="false" diagonalDown="false">
      <left/>
      <right/>
      <top/>
      <bottom style="thin">
        <color rgb="FFE7E6E6"/>
      </bottom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/>
      <right/>
      <top style="thin">
        <color rgb="FFE7E6E6"/>
      </top>
      <bottom style="thin">
        <color rgb="FFE7E6E6"/>
      </bottom>
      <diagonal/>
    </border>
    <border diagonalUp="false" diagonalDown="false">
      <left/>
      <right/>
      <top style="thin">
        <color rgb="FFE7E6E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 style="thin">
        <color rgb="FFD9E2F3"/>
      </top>
      <bottom/>
      <diagonal/>
    </border>
    <border diagonalUp="false" diagonalDown="false">
      <left/>
      <right/>
      <top/>
      <bottom style="thin">
        <color rgb="FFD9E1F2"/>
      </bottom>
      <diagonal/>
    </border>
    <border diagonalUp="false" diagonalDown="false">
      <left/>
      <right/>
      <top/>
      <bottom style="thin">
        <color rgb="FFB7C9D6"/>
      </bottom>
      <diagonal/>
    </border>
    <border diagonalUp="false" diagonalDown="false">
      <left style="thin">
        <color rgb="FFD9E1F2"/>
      </left>
      <right/>
      <top style="thin">
        <color rgb="FFD9E1F2"/>
      </top>
      <bottom style="hair">
        <color rgb="FFD9E1F2"/>
      </bottom>
      <diagonal/>
    </border>
    <border diagonalUp="false" diagonalDown="false">
      <left/>
      <right/>
      <top style="thin">
        <color rgb="FFD9E1F2"/>
      </top>
      <bottom style="hair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hair">
        <color rgb="FFD9E1F2"/>
      </bottom>
      <diagonal/>
    </border>
    <border diagonalUp="false" diagonalDown="false">
      <left style="thin">
        <color rgb="FFD9E1F2"/>
      </left>
      <right/>
      <top style="hair">
        <color rgb="FFD9E1F2"/>
      </top>
      <bottom style="hair">
        <color rgb="FFD9E1F2"/>
      </bottom>
      <diagonal/>
    </border>
    <border diagonalUp="false" diagonalDown="false">
      <left/>
      <right/>
      <top style="hair">
        <color rgb="FFD9E1F2"/>
      </top>
      <bottom style="hair">
        <color rgb="FFD9E1F2"/>
      </bottom>
      <diagonal/>
    </border>
    <border diagonalUp="false" diagonalDown="false">
      <left/>
      <right style="thin">
        <color rgb="FFD9E1F2"/>
      </right>
      <top style="hair">
        <color rgb="FFD9E1F2"/>
      </top>
      <bottom style="hair">
        <color rgb="FFD9E1F2"/>
      </bottom>
      <diagonal/>
    </border>
    <border diagonalUp="false" diagonalDown="false">
      <left style="thin">
        <color rgb="FFD9E1F2"/>
      </left>
      <right/>
      <top style="hair">
        <color rgb="FFD9E1F2"/>
      </top>
      <bottom style="thin">
        <color rgb="FFD9E1F2"/>
      </bottom>
      <diagonal/>
    </border>
    <border diagonalUp="false" diagonalDown="false">
      <left/>
      <right/>
      <top style="hair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hair">
        <color rgb="FFD9E1F2"/>
      </top>
      <bottom style="thin">
        <color rgb="FFD9E1F2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5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3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8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2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2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3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3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7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7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0" fillId="0" borderId="7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9" fillId="5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9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5" borderId="9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5" borderId="2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9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17" fillId="5" borderId="9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5" fillId="5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6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5" fillId="6" borderId="0" xfId="2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9" fillId="0" borderId="1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3" borderId="0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7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2" borderId="1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6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2" fontId="22" fillId="6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4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11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1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8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3" borderId="0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9" borderId="12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9" borderId="13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9" borderId="14" xfId="2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15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10" fillId="0" borderId="16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10" fillId="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9" fillId="0" borderId="16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9" fillId="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26" fillId="0" borderId="16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26" fillId="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26" fillId="0" borderId="16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26" fillId="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0" borderId="18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1" fontId="9" fillId="0" borderId="19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9" fillId="0" borderId="20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0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10" borderId="0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9" borderId="13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8" fillId="9" borderId="14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9" fillId="0" borderId="16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1" fontId="9" fillId="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2" fillId="6" borderId="0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7" fillId="8" borderId="18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27" fillId="8" borderId="19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6" fontId="27" fillId="8" borderId="20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10" borderId="12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26" fillId="10" borderId="14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10" borderId="15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9" fillId="10" borderId="17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10" borderId="18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26" fillId="10" borderId="20" xfId="2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6" fillId="0" borderId="0" xfId="2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8"/>
      <rgbColor rgb="FFE2F0D9"/>
      <rgbColor rgb="FFE7E6E6"/>
      <rgbColor rgb="FFD9E2F3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666666"/>
      <rgbColor rgb="FFA5A5A5"/>
      <rgbColor rgb="FF17365D"/>
      <rgbColor rgb="FF339966"/>
      <rgbColor rgb="FF003300"/>
      <rgbColor rgb="FF333300"/>
      <rgbColor rgb="FF993300"/>
      <rgbColor rgb="FF993366"/>
      <rgbColor rgb="FF1F4E78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false"/>
  </sheetPr>
  <dimension ref="A1:Z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8"/>
    <col collapsed="false" customWidth="true" hidden="false" outlineLevel="0" max="4" min="4" style="0" width="60"/>
    <col collapsed="false" customWidth="true" hidden="false" outlineLevel="0" max="8" min="5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9.7" hidden="false" customHeight="false" outlineLevel="0" collapsed="false">
      <c r="A3" s="1"/>
      <c r="B3" s="1"/>
      <c r="C3" s="2" t="s">
        <v>0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3"/>
      <c r="D4" s="3"/>
      <c r="E4" s="3"/>
      <c r="F4" s="3"/>
      <c r="G4" s="3"/>
      <c r="H4" s="3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1"/>
      <c r="C6" s="4" t="s">
        <v>1</v>
      </c>
      <c r="D6" s="4"/>
      <c r="E6" s="4"/>
      <c r="F6" s="4"/>
      <c r="G6" s="4"/>
      <c r="H6" s="4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24" hidden="false" customHeight="true" outlineLevel="0" collapsed="false">
      <c r="A7" s="1"/>
      <c r="B7" s="1"/>
      <c r="C7" s="5" t="s">
        <v>2</v>
      </c>
      <c r="D7" s="5"/>
      <c r="E7" s="5"/>
      <c r="F7" s="5"/>
      <c r="G7" s="5"/>
      <c r="H7" s="5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24" hidden="false" customHeight="true" outlineLevel="0" collapsed="false">
      <c r="A8" s="1"/>
      <c r="B8" s="1"/>
      <c r="C8" s="5"/>
      <c r="D8" s="5"/>
      <c r="E8" s="5"/>
      <c r="F8" s="5"/>
      <c r="G8" s="5"/>
      <c r="H8" s="5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6" t="s">
        <v>3</v>
      </c>
      <c r="D10" s="1" t="s">
        <v>4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6" t="s">
        <v>5</v>
      </c>
      <c r="D11" s="7" t="n">
        <v>46279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6" t="s">
        <v>6</v>
      </c>
      <c r="D12" s="1" t="s">
        <v>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6" t="s">
        <v>8</v>
      </c>
      <c r="D13" s="8" t="s">
        <v>9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4" t="s">
        <v>10</v>
      </c>
      <c r="D15" s="4"/>
      <c r="E15" s="4"/>
      <c r="F15" s="4"/>
      <c r="G15" s="4"/>
      <c r="H15" s="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24" hidden="false" customHeight="true" outlineLevel="0" collapsed="false">
      <c r="A16" s="1"/>
      <c r="B16" s="1"/>
      <c r="C16" s="5" t="s">
        <v>11</v>
      </c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24" hidden="false" customHeight="true" outlineLevel="0" collapsed="false">
      <c r="A17" s="1"/>
      <c r="B17" s="1"/>
      <c r="C17" s="5"/>
      <c r="D17" s="5"/>
      <c r="E17" s="5"/>
      <c r="F17" s="5"/>
      <c r="G17" s="5"/>
      <c r="H17" s="5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22" hidden="false" customHeight="true" outlineLevel="0" collapsed="false">
      <c r="A19" s="1"/>
      <c r="B19" s="1"/>
      <c r="C19" s="9" t="s">
        <v>12</v>
      </c>
      <c r="D19" s="10" t="s">
        <v>13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11" t="s">
        <v>14</v>
      </c>
      <c r="D20" s="8" t="s">
        <v>15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false" outlineLevel="0" collapsed="false">
      <c r="A21" s="1"/>
      <c r="B21" s="1"/>
      <c r="C21" s="12" t="s">
        <v>16</v>
      </c>
      <c r="D21" s="13" t="s">
        <v>17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false" outlineLevel="0" collapsed="false">
      <c r="A22" s="1"/>
      <c r="B22" s="1"/>
      <c r="C22" s="12" t="s">
        <v>18</v>
      </c>
      <c r="D22" s="13" t="s">
        <v>19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false" outlineLevel="0" collapsed="false">
      <c r="A23" s="1"/>
      <c r="B23" s="1"/>
      <c r="C23" s="14" t="s">
        <v>20</v>
      </c>
      <c r="D23" s="15" t="s">
        <v>21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false" outlineLevel="0" collapsed="false">
      <c r="A26" s="1"/>
      <c r="B26" s="1"/>
      <c r="C26" s="4" t="s">
        <v>22</v>
      </c>
      <c r="D26" s="4"/>
      <c r="E26" s="4"/>
      <c r="F26" s="4"/>
      <c r="G26" s="4"/>
      <c r="H26" s="4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1"/>
      <c r="B27" s="1"/>
      <c r="C27" s="16" t="s">
        <v>23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false" outlineLevel="0" collapsed="false">
      <c r="A28" s="1"/>
      <c r="B28" s="1"/>
      <c r="C28" s="1" t="s">
        <v>24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false" outlineLevel="0" collapsed="false">
      <c r="A29" s="1"/>
      <c r="B29" s="1"/>
      <c r="C29" s="17" t="s">
        <v>25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false" outlineLevel="0" collapsed="false">
      <c r="A30" s="1"/>
      <c r="B30" s="1"/>
      <c r="C30" s="1" t="s">
        <v>26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mergeCells count="2">
    <mergeCell ref="C7:H8"/>
    <mergeCell ref="C16:H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36"/>
    <col collapsed="false" customWidth="true" hidden="false" outlineLevel="0" max="8" min="4" style="0" width="12"/>
    <col collapsed="false" customWidth="true" hidden="false" outlineLevel="0" max="10" min="10" style="0" width="4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.55" hidden="false" customHeight="false" outlineLevel="0" collapsed="false">
      <c r="A2" s="1"/>
      <c r="B2" s="1"/>
      <c r="C2" s="18" t="s">
        <v>14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9"/>
      <c r="D3" s="19"/>
      <c r="E3" s="19"/>
      <c r="F3" s="19"/>
      <c r="G3" s="19"/>
      <c r="H3" s="1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20" t="s">
        <v>27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2" hidden="false" customHeight="true" outlineLevel="0" collapsed="false">
      <c r="A6" s="1"/>
      <c r="B6" s="1"/>
      <c r="C6" s="9" t="s">
        <v>28</v>
      </c>
      <c r="D6" s="21" t="s">
        <v>29</v>
      </c>
      <c r="E6" s="21" t="s">
        <v>30</v>
      </c>
      <c r="F6" s="21" t="s">
        <v>31</v>
      </c>
      <c r="G6" s="21" t="s">
        <v>32</v>
      </c>
      <c r="H6" s="10" t="s">
        <v>33</v>
      </c>
      <c r="I6" s="1"/>
      <c r="J6" s="22" t="s">
        <v>34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"/>
      <c r="C7" s="23" t="s">
        <v>35</v>
      </c>
      <c r="D7" s="24" t="n">
        <v>1320.4</v>
      </c>
      <c r="E7" s="24" t="n">
        <v>1580.7</v>
      </c>
      <c r="F7" s="24" t="n">
        <v>1912.1</v>
      </c>
      <c r="G7" s="24" t="n">
        <v>1931.6</v>
      </c>
      <c r="H7" s="24" t="n">
        <v>1922.6</v>
      </c>
      <c r="I7" s="1"/>
      <c r="J7" s="25" t="s">
        <v>36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"/>
      <c r="C8" s="26" t="s">
        <v>37</v>
      </c>
      <c r="D8" s="27"/>
      <c r="E8" s="27" t="n">
        <f aca="false">E7/D7-1</f>
        <v>0.197137231142078</v>
      </c>
      <c r="F8" s="27" t="n">
        <f aca="false">F7/E7-1</f>
        <v>0.209653950781299</v>
      </c>
      <c r="G8" s="27" t="n">
        <f aca="false">G7/F7-1</f>
        <v>0.0101982113906176</v>
      </c>
      <c r="H8" s="27" t="n">
        <f aca="false">H7/G7-1</f>
        <v>-0.00465934976185545</v>
      </c>
      <c r="I8" s="1"/>
      <c r="J8" s="25" t="s">
        <v>38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23" t="s">
        <v>39</v>
      </c>
      <c r="D9" s="24" t="n">
        <v>137.4</v>
      </c>
      <c r="E9" s="24" t="n">
        <v>178.9</v>
      </c>
      <c r="F9" s="24" t="n">
        <v>215.2</v>
      </c>
      <c r="G9" s="24" t="n">
        <v>185.4</v>
      </c>
      <c r="H9" s="24" t="n">
        <v>217.9</v>
      </c>
      <c r="I9" s="1"/>
      <c r="J9" s="25" t="s">
        <v>36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26" t="s">
        <v>40</v>
      </c>
      <c r="D10" s="27" t="n">
        <f aca="false">D9/D7</f>
        <v>0.104059375946683</v>
      </c>
      <c r="E10" s="27" t="n">
        <f aca="false">E9/E7</f>
        <v>0.113177706079585</v>
      </c>
      <c r="F10" s="27" t="n">
        <f aca="false">F9/F7</f>
        <v>0.112546414936457</v>
      </c>
      <c r="G10" s="27" t="n">
        <f aca="false">G9/G7</f>
        <v>0.0959826050942224</v>
      </c>
      <c r="H10" s="27" t="n">
        <f aca="false">H9/H7</f>
        <v>0.113336107354624</v>
      </c>
      <c r="I10" s="1"/>
      <c r="J10" s="25" t="s">
        <v>38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23" t="s">
        <v>41</v>
      </c>
      <c r="D11" s="24" t="n">
        <v>20.6</v>
      </c>
      <c r="E11" s="24" t="n">
        <v>26.5</v>
      </c>
      <c r="F11" s="24" t="n">
        <v>29.4</v>
      </c>
      <c r="G11" s="24" t="n">
        <v>26.1</v>
      </c>
      <c r="H11" s="24" t="n">
        <v>31.5</v>
      </c>
      <c r="I11" s="1"/>
      <c r="J11" s="25" t="s">
        <v>36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23" t="s">
        <v>42</v>
      </c>
      <c r="D12" s="24" t="n">
        <v>220.7</v>
      </c>
      <c r="E12" s="24" t="n">
        <v>270.1</v>
      </c>
      <c r="F12" s="24" t="n">
        <v>320.2</v>
      </c>
      <c r="G12" s="24" t="n">
        <v>316.2</v>
      </c>
      <c r="H12" s="24" t="n">
        <v>343.2</v>
      </c>
      <c r="I12" s="1"/>
      <c r="J12" s="25" t="s">
        <v>36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23" t="s">
        <v>43</v>
      </c>
      <c r="D13" s="24" t="n">
        <v>225.1</v>
      </c>
      <c r="E13" s="24" t="n">
        <v>-206.9</v>
      </c>
      <c r="F13" s="24" t="n">
        <v>-151.2</v>
      </c>
      <c r="G13" s="24" t="n">
        <v>-133.2</v>
      </c>
      <c r="H13" s="24" t="n">
        <v>-159.1</v>
      </c>
      <c r="I13" s="1"/>
      <c r="J13" s="25" t="s">
        <v>36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23" t="s">
        <v>44</v>
      </c>
      <c r="D14" s="24" t="n">
        <v>1226.6</v>
      </c>
      <c r="E14" s="24" t="n">
        <v>1724.1</v>
      </c>
      <c r="F14" s="24" t="n">
        <v>1740.4</v>
      </c>
      <c r="G14" s="24" t="n">
        <v>1954.8</v>
      </c>
      <c r="H14" s="24" t="n">
        <v>1864</v>
      </c>
      <c r="I14" s="1"/>
      <c r="J14" s="25" t="s">
        <v>36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26" t="s">
        <v>45</v>
      </c>
      <c r="D15" s="28" t="n">
        <f aca="false">D14/D7</f>
        <v>0.928960920933051</v>
      </c>
      <c r="E15" s="28" t="n">
        <f aca="false">E14/E7</f>
        <v>1.09071930157525</v>
      </c>
      <c r="F15" s="28" t="n">
        <f aca="false">F14/F7</f>
        <v>0.910203441242613</v>
      </c>
      <c r="G15" s="28" t="n">
        <f aca="false">G14/G7</f>
        <v>1.01201076827501</v>
      </c>
      <c r="H15" s="28" t="n">
        <f aca="false">H14/H7</f>
        <v>0.969520441069385</v>
      </c>
      <c r="I15" s="1"/>
      <c r="J15" s="25" t="s">
        <v>46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23" t="s">
        <v>47</v>
      </c>
      <c r="D16" s="24"/>
      <c r="E16" s="24"/>
      <c r="F16" s="24"/>
      <c r="G16" s="24" t="n">
        <v>2845.2</v>
      </c>
      <c r="H16" s="24" t="n">
        <v>4421.4</v>
      </c>
      <c r="I16" s="1"/>
      <c r="J16" s="25" t="s">
        <v>48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23"/>
      <c r="D17" s="29"/>
      <c r="E17" s="29"/>
      <c r="F17" s="29"/>
      <c r="G17" s="29"/>
      <c r="H17" s="29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23"/>
      <c r="D18" s="29"/>
      <c r="E18" s="29"/>
      <c r="F18" s="29"/>
      <c r="G18" s="29"/>
      <c r="H18" s="29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30" t="s">
        <v>49</v>
      </c>
      <c r="D19" s="31"/>
      <c r="E19" s="31"/>
      <c r="F19" s="31"/>
      <c r="G19" s="31"/>
      <c r="H19" s="3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32" t="s">
        <v>50</v>
      </c>
      <c r="D20" s="33"/>
      <c r="E20" s="33"/>
      <c r="F20" s="33"/>
      <c r="G20" s="33"/>
      <c r="H20" s="34" t="n">
        <f aca="false">H7-Segments!H8</f>
        <v>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false" outlineLevel="0" collapsed="false">
      <c r="A21" s="1"/>
      <c r="B21" s="1"/>
      <c r="C21" s="35" t="s">
        <v>51</v>
      </c>
      <c r="D21" s="36"/>
      <c r="E21" s="36"/>
      <c r="F21" s="36"/>
      <c r="G21" s="36"/>
      <c r="H21" s="37" t="n">
        <f aca="false">H9-Segments!H15</f>
        <v>0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false" outlineLevel="0" collapsed="false">
      <c r="A22" s="1"/>
      <c r="B22" s="1"/>
      <c r="C22" s="23"/>
      <c r="D22" s="29"/>
      <c r="E22" s="29"/>
      <c r="F22" s="29"/>
      <c r="G22" s="29"/>
      <c r="H22" s="29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false" outlineLevel="0" collapsed="false">
      <c r="A23" s="1"/>
      <c r="B23" s="1"/>
      <c r="C23" s="23"/>
      <c r="D23" s="29"/>
      <c r="E23" s="29"/>
      <c r="F23" s="29"/>
      <c r="G23" s="29"/>
      <c r="H23" s="2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false" outlineLevel="0" collapsed="false">
      <c r="A24" s="1"/>
      <c r="B24" s="1"/>
      <c r="C24" s="23"/>
      <c r="D24" s="29"/>
      <c r="E24" s="29"/>
      <c r="F24" s="29"/>
      <c r="G24" s="29"/>
      <c r="H24" s="2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false" outlineLevel="0" collapsed="false">
      <c r="A25" s="1"/>
      <c r="B25" s="1"/>
      <c r="C25" s="23"/>
      <c r="D25" s="29"/>
      <c r="E25" s="29"/>
      <c r="F25" s="29"/>
      <c r="G25" s="29"/>
      <c r="H25" s="2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false" outlineLevel="0" collapsed="false">
      <c r="A26" s="1"/>
      <c r="B26" s="1"/>
      <c r="C26" s="23"/>
      <c r="D26" s="29"/>
      <c r="E26" s="29"/>
      <c r="F26" s="29"/>
      <c r="G26" s="29"/>
      <c r="H26" s="2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1"/>
      <c r="B27" s="1"/>
      <c r="C27" s="23"/>
      <c r="D27" s="29"/>
      <c r="E27" s="29"/>
      <c r="F27" s="29"/>
      <c r="G27" s="29"/>
      <c r="H27" s="2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false" outlineLevel="0" collapsed="false">
      <c r="A28" s="1"/>
      <c r="B28" s="1"/>
      <c r="C28" s="23"/>
      <c r="D28" s="29"/>
      <c r="E28" s="29"/>
      <c r="F28" s="29"/>
      <c r="G28" s="29"/>
      <c r="H28" s="2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false" outlineLevel="0" collapsed="false">
      <c r="A29" s="1"/>
      <c r="B29" s="1"/>
      <c r="C29" s="23"/>
      <c r="D29" s="29"/>
      <c r="E29" s="29"/>
      <c r="F29" s="29"/>
      <c r="G29" s="29"/>
      <c r="H29" s="2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false" outlineLevel="0" collapsed="false">
      <c r="A30" s="1"/>
      <c r="B30" s="1"/>
      <c r="C30" s="23"/>
      <c r="D30" s="29"/>
      <c r="E30" s="29"/>
      <c r="F30" s="29"/>
      <c r="G30" s="29"/>
      <c r="H30" s="2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false" outlineLevel="0" collapsed="false">
      <c r="A31" s="1"/>
      <c r="B31" s="1"/>
      <c r="C31" s="23"/>
      <c r="D31" s="29"/>
      <c r="E31" s="29"/>
      <c r="F31" s="29"/>
      <c r="G31" s="29"/>
      <c r="H31" s="29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false" outlineLevel="0" collapsed="false">
      <c r="A32" s="1"/>
      <c r="B32" s="1"/>
      <c r="C32" s="23"/>
      <c r="D32" s="29"/>
      <c r="E32" s="29"/>
      <c r="F32" s="29"/>
      <c r="G32" s="29"/>
      <c r="H32" s="2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false" outlineLevel="0" collapsed="false">
      <c r="A33" s="1"/>
      <c r="B33" s="1"/>
      <c r="C33" s="23"/>
      <c r="D33" s="29"/>
      <c r="E33" s="29"/>
      <c r="F33" s="29"/>
      <c r="G33" s="29"/>
      <c r="H33" s="2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1"/>
      <c r="B34" s="1"/>
      <c r="C34" s="23"/>
      <c r="D34" s="29"/>
      <c r="E34" s="29"/>
      <c r="F34" s="29"/>
      <c r="G34" s="29"/>
      <c r="H34" s="2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false" outlineLevel="0" collapsed="false">
      <c r="A35" s="1"/>
      <c r="B35" s="1"/>
      <c r="C35" s="23"/>
      <c r="D35" s="29"/>
      <c r="E35" s="29"/>
      <c r="F35" s="29"/>
      <c r="G35" s="29"/>
      <c r="H35" s="2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false" outlineLevel="0" collapsed="false">
      <c r="A36" s="1"/>
      <c r="B36" s="1"/>
      <c r="C36" s="23"/>
      <c r="D36" s="29"/>
      <c r="E36" s="29"/>
      <c r="F36" s="29"/>
      <c r="G36" s="29"/>
      <c r="H36" s="2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false" outlineLevel="0" collapsed="false">
      <c r="A37" s="1"/>
      <c r="B37" s="1"/>
      <c r="C37" s="23"/>
      <c r="D37" s="29"/>
      <c r="E37" s="29"/>
      <c r="F37" s="29"/>
      <c r="G37" s="29"/>
      <c r="H37" s="2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false" outlineLevel="0" collapsed="false">
      <c r="A38" s="1"/>
      <c r="B38" s="1"/>
      <c r="C38" s="23"/>
      <c r="D38" s="29"/>
      <c r="E38" s="29"/>
      <c r="F38" s="29"/>
      <c r="G38" s="2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false" outlineLevel="0" collapsed="false">
      <c r="A39" s="1"/>
      <c r="B39" s="1"/>
      <c r="C39" s="23"/>
      <c r="D39" s="29"/>
      <c r="E39" s="29"/>
      <c r="F39" s="29"/>
      <c r="G39" s="2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false" outlineLevel="0" collapsed="false">
      <c r="A40" s="1"/>
      <c r="B40" s="1"/>
      <c r="C40" s="23"/>
      <c r="D40" s="29"/>
      <c r="E40" s="29"/>
      <c r="F40" s="29"/>
      <c r="G40" s="29"/>
      <c r="H40" s="2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false" outlineLevel="0" collapsed="false">
      <c r="A41" s="1"/>
      <c r="B41" s="1"/>
      <c r="C41" s="23"/>
      <c r="D41" s="29"/>
      <c r="E41" s="29"/>
      <c r="F41" s="29"/>
      <c r="G41" s="29"/>
      <c r="H41" s="29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1"/>
      <c r="B42" s="1"/>
      <c r="C42" s="23"/>
      <c r="D42" s="29"/>
      <c r="E42" s="29"/>
      <c r="F42" s="29"/>
      <c r="G42" s="29"/>
      <c r="H42" s="2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false" outlineLevel="0" collapsed="false">
      <c r="A43" s="1"/>
      <c r="B43" s="1"/>
      <c r="C43" s="23"/>
      <c r="D43" s="29"/>
      <c r="E43" s="29"/>
      <c r="F43" s="29"/>
      <c r="G43" s="29"/>
      <c r="H43" s="2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false" outlineLevel="0" collapsed="false">
      <c r="A44" s="1"/>
      <c r="B44" s="1"/>
      <c r="C44" s="23"/>
      <c r="D44" s="29"/>
      <c r="E44" s="29"/>
      <c r="F44" s="29"/>
      <c r="G44" s="29"/>
      <c r="H44" s="2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false" outlineLevel="0" collapsed="false">
      <c r="A45" s="1"/>
      <c r="B45" s="1"/>
      <c r="C45" s="23"/>
      <c r="D45" s="29"/>
      <c r="E45" s="29"/>
      <c r="F45" s="29"/>
      <c r="G45" s="29"/>
      <c r="H45" s="29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false" outlineLevel="0" collapsed="false">
      <c r="A46" s="1"/>
      <c r="B46" s="1"/>
      <c r="C46" s="23"/>
      <c r="D46" s="29"/>
      <c r="E46" s="29"/>
      <c r="F46" s="29"/>
      <c r="G46" s="29"/>
      <c r="H46" s="2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false" outlineLevel="0" collapsed="false">
      <c r="A47" s="1"/>
      <c r="B47" s="1"/>
      <c r="C47" s="23"/>
      <c r="D47" s="29"/>
      <c r="E47" s="29"/>
      <c r="F47" s="29"/>
      <c r="G47" s="29"/>
      <c r="H47" s="2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false" outlineLevel="0" collapsed="false">
      <c r="A48" s="1"/>
      <c r="B48" s="1"/>
      <c r="C48" s="23"/>
      <c r="D48" s="29"/>
      <c r="E48" s="29"/>
      <c r="F48" s="29"/>
      <c r="G48" s="29"/>
      <c r="H48" s="2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23"/>
      <c r="D49" s="29"/>
      <c r="E49" s="29"/>
      <c r="F49" s="29"/>
      <c r="G49" s="29"/>
      <c r="H49" s="2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23"/>
      <c r="D50" s="29"/>
      <c r="E50" s="29"/>
      <c r="F50" s="29"/>
      <c r="G50" s="29"/>
      <c r="H50" s="2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23"/>
      <c r="D51" s="29"/>
      <c r="E51" s="29"/>
      <c r="F51" s="29"/>
      <c r="G51" s="29"/>
      <c r="H51" s="2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23"/>
      <c r="D52" s="29"/>
      <c r="E52" s="29"/>
      <c r="F52" s="29"/>
      <c r="G52" s="29"/>
      <c r="H52" s="2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23"/>
      <c r="D53" s="29"/>
      <c r="E53" s="29"/>
      <c r="F53" s="29"/>
      <c r="G53" s="29"/>
      <c r="H53" s="2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23"/>
      <c r="D54" s="29"/>
      <c r="E54" s="29"/>
      <c r="F54" s="29"/>
      <c r="G54" s="29"/>
      <c r="H54" s="2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23"/>
      <c r="D55" s="29"/>
      <c r="E55" s="29"/>
      <c r="F55" s="29"/>
      <c r="G55" s="29"/>
      <c r="H55" s="2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23"/>
      <c r="D56" s="29"/>
      <c r="E56" s="29"/>
      <c r="F56" s="29"/>
      <c r="G56" s="29"/>
      <c r="H56" s="2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23"/>
      <c r="D57" s="29"/>
      <c r="E57" s="29"/>
      <c r="F57" s="29"/>
      <c r="G57" s="29"/>
      <c r="H57" s="29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23"/>
      <c r="D58" s="29"/>
      <c r="E58" s="29"/>
      <c r="F58" s="29"/>
      <c r="G58" s="29"/>
      <c r="H58" s="2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23"/>
      <c r="D59" s="29"/>
      <c r="E59" s="29"/>
      <c r="F59" s="29"/>
      <c r="G59" s="29"/>
      <c r="H59" s="29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23"/>
      <c r="D60" s="29"/>
      <c r="E60" s="29"/>
      <c r="F60" s="29"/>
      <c r="G60" s="29"/>
      <c r="H60" s="2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34"/>
    <col collapsed="false" customWidth="true" hidden="false" outlineLevel="0" max="8" min="4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.55" hidden="false" customHeight="false" outlineLevel="0" collapsed="false">
      <c r="A2" s="1"/>
      <c r="B2" s="1"/>
      <c r="C2" s="18" t="s">
        <v>52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9"/>
      <c r="D3" s="19"/>
      <c r="E3" s="19"/>
      <c r="F3" s="19"/>
      <c r="G3" s="19"/>
      <c r="H3" s="1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20" t="s">
        <v>53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2" hidden="false" customHeight="true" outlineLevel="0" collapsed="false">
      <c r="A6" s="1"/>
      <c r="B6" s="1"/>
      <c r="C6" s="9" t="s">
        <v>28</v>
      </c>
      <c r="D6" s="21" t="s">
        <v>29</v>
      </c>
      <c r="E6" s="21" t="s">
        <v>30</v>
      </c>
      <c r="F6" s="21" t="s">
        <v>31</v>
      </c>
      <c r="G6" s="21" t="s">
        <v>32</v>
      </c>
      <c r="H6" s="10" t="s">
        <v>33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"/>
      <c r="C7" s="30" t="s">
        <v>35</v>
      </c>
      <c r="D7" s="31"/>
      <c r="E7" s="31"/>
      <c r="F7" s="31"/>
      <c r="G7" s="31"/>
      <c r="H7" s="3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"/>
      <c r="C8" s="23" t="s">
        <v>54</v>
      </c>
      <c r="D8" s="38" t="n">
        <f aca="false">D9+D10</f>
        <v>1320.4</v>
      </c>
      <c r="E8" s="38" t="n">
        <f aca="false">E9+E10</f>
        <v>1580.7</v>
      </c>
      <c r="F8" s="38" t="n">
        <f aca="false">F9+F10</f>
        <v>1912.1</v>
      </c>
      <c r="G8" s="38" t="n">
        <f aca="false">G9+G10</f>
        <v>1931.6</v>
      </c>
      <c r="H8" s="38" t="n">
        <f aca="false">H9+H10</f>
        <v>1922.6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23" t="s">
        <v>55</v>
      </c>
      <c r="D9" s="24" t="n">
        <v>1059.2</v>
      </c>
      <c r="E9" s="24" t="n">
        <v>1179.3</v>
      </c>
      <c r="F9" s="24" t="n">
        <v>1417.4</v>
      </c>
      <c r="G9" s="24" t="n">
        <v>1477.7</v>
      </c>
      <c r="H9" s="24" t="n">
        <v>1529.2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23" t="s">
        <v>56</v>
      </c>
      <c r="D10" s="24" t="n">
        <v>261.2</v>
      </c>
      <c r="E10" s="24" t="n">
        <v>401.4</v>
      </c>
      <c r="F10" s="24" t="n">
        <v>494.7</v>
      </c>
      <c r="G10" s="24" t="n">
        <v>453.9</v>
      </c>
      <c r="H10" s="24" t="n">
        <v>393.4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26" t="s">
        <v>57</v>
      </c>
      <c r="D11" s="27"/>
      <c r="E11" s="27" t="n">
        <f aca="false">E9/D9-1</f>
        <v>0.113387462235649</v>
      </c>
      <c r="F11" s="27" t="n">
        <f aca="false">F9/E9-1</f>
        <v>0.201899431866362</v>
      </c>
      <c r="G11" s="27" t="n">
        <f aca="false">G9/F9-1</f>
        <v>0.042542683787216</v>
      </c>
      <c r="H11" s="27" t="n">
        <f aca="false">H9/G9-1</f>
        <v>0.0348514583474318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26" t="s">
        <v>58</v>
      </c>
      <c r="D12" s="27"/>
      <c r="E12" s="27" t="n">
        <f aca="false">E10/D10-1</f>
        <v>0.536753445635528</v>
      </c>
      <c r="F12" s="27" t="n">
        <f aca="false">F10/E10-1</f>
        <v>0.232436472346786</v>
      </c>
      <c r="G12" s="27" t="n">
        <f aca="false">G10/F10-1</f>
        <v>-0.0824742268041238</v>
      </c>
      <c r="H12" s="27" t="n">
        <f aca="false">H10/G10-1</f>
        <v>-0.133289270764486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23"/>
      <c r="D13" s="29"/>
      <c r="E13" s="29"/>
      <c r="F13" s="29"/>
      <c r="G13" s="29"/>
      <c r="H13" s="29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30" t="s">
        <v>59</v>
      </c>
      <c r="D14" s="31"/>
      <c r="E14" s="31"/>
      <c r="F14" s="31"/>
      <c r="G14" s="31"/>
      <c r="H14" s="3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23" t="s">
        <v>60</v>
      </c>
      <c r="D15" s="38" t="n">
        <f aca="false">D16+D17</f>
        <v>137.4</v>
      </c>
      <c r="E15" s="38" t="n">
        <f aca="false">E16+E17</f>
        <v>178.9</v>
      </c>
      <c r="F15" s="38" t="n">
        <f aca="false">F16+F17</f>
        <v>215.2</v>
      </c>
      <c r="G15" s="38" t="n">
        <f aca="false">G16+G17</f>
        <v>185.4</v>
      </c>
      <c r="H15" s="38" t="n">
        <f aca="false">H16+H17</f>
        <v>217.9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23" t="s">
        <v>55</v>
      </c>
      <c r="D16" s="24" t="n">
        <v>135.6</v>
      </c>
      <c r="E16" s="24" t="n">
        <v>137.1</v>
      </c>
      <c r="F16" s="24" t="n">
        <v>163.4</v>
      </c>
      <c r="G16" s="24" t="n">
        <v>169</v>
      </c>
      <c r="H16" s="24" t="n">
        <v>182.3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23" t="s">
        <v>56</v>
      </c>
      <c r="D17" s="24" t="n">
        <v>1.8</v>
      </c>
      <c r="E17" s="24" t="n">
        <v>41.8</v>
      </c>
      <c r="F17" s="24" t="n">
        <v>51.8</v>
      </c>
      <c r="G17" s="24" t="n">
        <v>16.4</v>
      </c>
      <c r="H17" s="24" t="n">
        <v>35.6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26" t="s">
        <v>61</v>
      </c>
      <c r="D18" s="27" t="n">
        <f aca="false">D15/D8</f>
        <v>0.104059375946683</v>
      </c>
      <c r="E18" s="27" t="n">
        <f aca="false">E15/E8</f>
        <v>0.113177706079585</v>
      </c>
      <c r="F18" s="27" t="n">
        <f aca="false">F15/F8</f>
        <v>0.112546414936457</v>
      </c>
      <c r="G18" s="27" t="n">
        <f aca="false">G15/G8</f>
        <v>0.0959826050942224</v>
      </c>
      <c r="H18" s="27" t="n">
        <f aca="false">H15/H8</f>
        <v>0.113336107354624</v>
      </c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26" t="s">
        <v>62</v>
      </c>
      <c r="D19" s="27" t="n">
        <f aca="false">D16/D9</f>
        <v>0.128021148036254</v>
      </c>
      <c r="E19" s="27" t="n">
        <f aca="false">E16/E9</f>
        <v>0.116255405749173</v>
      </c>
      <c r="F19" s="27" t="n">
        <f aca="false">F16/F9</f>
        <v>0.115281501340483</v>
      </c>
      <c r="G19" s="27" t="n">
        <f aca="false">G16/G9</f>
        <v>0.114366921567301</v>
      </c>
      <c r="H19" s="27" t="n">
        <f aca="false">H16/H9</f>
        <v>0.119212660214491</v>
      </c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26" t="s">
        <v>63</v>
      </c>
      <c r="D20" s="27" t="n">
        <f aca="false">D17/D10</f>
        <v>0.00689127105666156</v>
      </c>
      <c r="E20" s="27" t="n">
        <f aca="false">E17/E10</f>
        <v>0.104135525660189</v>
      </c>
      <c r="F20" s="27" t="n">
        <f aca="false">F17/F10</f>
        <v>0.104709925207196</v>
      </c>
      <c r="G20" s="27" t="n">
        <f aca="false">G17/G10</f>
        <v>0.0361313064551663</v>
      </c>
      <c r="H20" s="27" t="n">
        <f aca="false">H17/H10</f>
        <v>0.090493136756482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false" outlineLevel="0" collapsed="false">
      <c r="A21" s="1"/>
      <c r="B21" s="1"/>
      <c r="C21" s="30" t="s">
        <v>64</v>
      </c>
      <c r="D21" s="31"/>
      <c r="E21" s="31"/>
      <c r="F21" s="31"/>
      <c r="G21" s="31"/>
      <c r="H21" s="3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false" outlineLevel="0" collapsed="false">
      <c r="A22" s="1"/>
      <c r="B22" s="1"/>
      <c r="C22" s="26" t="s">
        <v>65</v>
      </c>
      <c r="D22" s="27" t="n">
        <f aca="false">D9/D8</f>
        <v>0.802181157225083</v>
      </c>
      <c r="E22" s="27" t="n">
        <f aca="false">E9/E8</f>
        <v>0.746061871322832</v>
      </c>
      <c r="F22" s="27" t="n">
        <f aca="false">F9/F8</f>
        <v>0.741279221798023</v>
      </c>
      <c r="G22" s="27" t="n">
        <f aca="false">G9/G8</f>
        <v>0.765013460343757</v>
      </c>
      <c r="H22" s="27" t="n">
        <f aca="false">H9/H8</f>
        <v>0.795381254551129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false" outlineLevel="0" collapsed="false">
      <c r="A23" s="1"/>
      <c r="B23" s="1"/>
      <c r="C23" s="23"/>
      <c r="D23" s="29"/>
      <c r="E23" s="29"/>
      <c r="F23" s="29"/>
      <c r="G23" s="29"/>
      <c r="H23" s="29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false" outlineLevel="0" collapsed="false">
      <c r="A24" s="1"/>
      <c r="B24" s="1"/>
      <c r="C24" s="23" t="s">
        <v>66</v>
      </c>
      <c r="D24" s="39" t="s">
        <v>67</v>
      </c>
      <c r="E24" s="39"/>
      <c r="F24" s="39"/>
      <c r="G24" s="39"/>
      <c r="H24" s="39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false" outlineLevel="0" collapsed="false">
      <c r="A25" s="1"/>
      <c r="B25" s="1"/>
      <c r="C25" s="23"/>
      <c r="D25" s="29"/>
      <c r="E25" s="29"/>
      <c r="F25" s="29"/>
      <c r="G25" s="29"/>
      <c r="H25" s="29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false" outlineLevel="0" collapsed="false">
      <c r="A26" s="1"/>
      <c r="B26" s="1"/>
      <c r="C26" s="23"/>
      <c r="D26" s="29"/>
      <c r="E26" s="29"/>
      <c r="F26" s="29"/>
      <c r="G26" s="29"/>
      <c r="H26" s="29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1"/>
      <c r="B27" s="1"/>
      <c r="C27" s="23"/>
      <c r="D27" s="29"/>
      <c r="E27" s="29"/>
      <c r="F27" s="29"/>
      <c r="G27" s="29"/>
      <c r="H27" s="29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false" outlineLevel="0" collapsed="false">
      <c r="A28" s="1"/>
      <c r="B28" s="1"/>
      <c r="C28" s="23"/>
      <c r="D28" s="29"/>
      <c r="E28" s="29"/>
      <c r="F28" s="29"/>
      <c r="G28" s="29"/>
      <c r="H28" s="29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false" outlineLevel="0" collapsed="false">
      <c r="A29" s="1"/>
      <c r="B29" s="1"/>
      <c r="C29" s="23"/>
      <c r="D29" s="29"/>
      <c r="E29" s="29"/>
      <c r="F29" s="29"/>
      <c r="G29" s="29"/>
      <c r="H29" s="29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false" outlineLevel="0" collapsed="false">
      <c r="A30" s="1"/>
      <c r="B30" s="1"/>
      <c r="C30" s="23"/>
      <c r="D30" s="29"/>
      <c r="E30" s="29"/>
      <c r="F30" s="29"/>
      <c r="G30" s="29"/>
      <c r="H30" s="29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false" outlineLevel="0" collapsed="false">
      <c r="A31" s="1"/>
      <c r="B31" s="1"/>
      <c r="C31" s="23"/>
      <c r="D31" s="29"/>
      <c r="E31" s="29"/>
      <c r="F31" s="29"/>
      <c r="G31" s="29"/>
      <c r="H31" s="29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false" outlineLevel="0" collapsed="false">
      <c r="A32" s="1"/>
      <c r="B32" s="1"/>
      <c r="C32" s="23"/>
      <c r="D32" s="29"/>
      <c r="E32" s="29"/>
      <c r="F32" s="29"/>
      <c r="G32" s="29"/>
      <c r="H32" s="29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false" outlineLevel="0" collapsed="false">
      <c r="A33" s="1"/>
      <c r="B33" s="1"/>
      <c r="C33" s="23"/>
      <c r="D33" s="29"/>
      <c r="E33" s="29"/>
      <c r="F33" s="29"/>
      <c r="G33" s="29"/>
      <c r="H33" s="29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1"/>
      <c r="B34" s="1"/>
      <c r="C34" s="23"/>
      <c r="D34" s="29"/>
      <c r="E34" s="29"/>
      <c r="F34" s="29"/>
      <c r="G34" s="29"/>
      <c r="H34" s="29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false" outlineLevel="0" collapsed="false">
      <c r="A35" s="1"/>
      <c r="B35" s="1"/>
      <c r="C35" s="23"/>
      <c r="D35" s="29"/>
      <c r="E35" s="29"/>
      <c r="F35" s="29"/>
      <c r="G35" s="29"/>
      <c r="H35" s="29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false" outlineLevel="0" collapsed="false">
      <c r="A36" s="1"/>
      <c r="B36" s="1"/>
      <c r="C36" s="23"/>
      <c r="D36" s="29"/>
      <c r="E36" s="29"/>
      <c r="F36" s="29"/>
      <c r="G36" s="29"/>
      <c r="H36" s="29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false" outlineLevel="0" collapsed="false">
      <c r="A37" s="1"/>
      <c r="B37" s="1"/>
      <c r="C37" s="23"/>
      <c r="D37" s="29"/>
      <c r="E37" s="29"/>
      <c r="F37" s="29"/>
      <c r="G37" s="29"/>
      <c r="H37" s="29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false" outlineLevel="0" collapsed="false">
      <c r="A38" s="1"/>
      <c r="B38" s="1"/>
      <c r="C38" s="23"/>
      <c r="D38" s="29"/>
      <c r="E38" s="29"/>
      <c r="F38" s="29"/>
      <c r="G38" s="29"/>
      <c r="H38" s="29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false" outlineLevel="0" collapsed="false">
      <c r="A39" s="1"/>
      <c r="B39" s="1"/>
      <c r="C39" s="23"/>
      <c r="D39" s="29"/>
      <c r="E39" s="29"/>
      <c r="F39" s="29"/>
      <c r="G39" s="29"/>
      <c r="H39" s="29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false" outlineLevel="0" collapsed="false">
      <c r="A40" s="1"/>
      <c r="B40" s="1"/>
      <c r="C40" s="23"/>
      <c r="D40" s="29"/>
      <c r="E40" s="29"/>
      <c r="F40" s="29"/>
      <c r="G40" s="29"/>
      <c r="H40" s="29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false" outlineLevel="0" collapsed="false">
      <c r="A41" s="1"/>
      <c r="B41" s="1"/>
      <c r="C41" s="23"/>
      <c r="D41" s="29"/>
      <c r="E41" s="29"/>
      <c r="F41" s="29"/>
      <c r="G41" s="29"/>
      <c r="H41" s="29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1"/>
      <c r="B42" s="1"/>
      <c r="C42" s="23"/>
      <c r="D42" s="29"/>
      <c r="E42" s="29"/>
      <c r="F42" s="29"/>
      <c r="G42" s="29"/>
      <c r="H42" s="2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false" outlineLevel="0" collapsed="false">
      <c r="A43" s="1"/>
      <c r="B43" s="1"/>
      <c r="C43" s="23"/>
      <c r="D43" s="29"/>
      <c r="E43" s="29"/>
      <c r="F43" s="29"/>
      <c r="G43" s="29"/>
      <c r="H43" s="2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false" outlineLevel="0" collapsed="false">
      <c r="A44" s="1"/>
      <c r="B44" s="1"/>
      <c r="C44" s="23"/>
      <c r="D44" s="29"/>
      <c r="E44" s="29"/>
      <c r="F44" s="29"/>
      <c r="G44" s="29"/>
      <c r="H44" s="2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false" outlineLevel="0" collapsed="false">
      <c r="A45" s="1"/>
      <c r="B45" s="1"/>
      <c r="C45" s="23"/>
      <c r="D45" s="29"/>
      <c r="E45" s="29"/>
      <c r="F45" s="29"/>
      <c r="G45" s="29"/>
      <c r="H45" s="29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false" outlineLevel="0" collapsed="false">
      <c r="A46" s="1"/>
      <c r="B46" s="1"/>
      <c r="C46" s="23"/>
      <c r="D46" s="29"/>
      <c r="E46" s="29"/>
      <c r="F46" s="29"/>
      <c r="G46" s="29"/>
      <c r="H46" s="2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false" outlineLevel="0" collapsed="false">
      <c r="A47" s="1"/>
      <c r="B47" s="1"/>
      <c r="C47" s="23"/>
      <c r="D47" s="29"/>
      <c r="E47" s="29"/>
      <c r="F47" s="29"/>
      <c r="G47" s="29"/>
      <c r="H47" s="29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false" outlineLevel="0" collapsed="false">
      <c r="A48" s="1"/>
      <c r="B48" s="1"/>
      <c r="C48" s="23"/>
      <c r="D48" s="29"/>
      <c r="E48" s="29"/>
      <c r="F48" s="29"/>
      <c r="G48" s="29"/>
      <c r="H48" s="29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23"/>
      <c r="D49" s="29"/>
      <c r="E49" s="29"/>
      <c r="F49" s="29"/>
      <c r="G49" s="29"/>
      <c r="H49" s="2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23"/>
      <c r="D50" s="29"/>
      <c r="E50" s="29"/>
      <c r="F50" s="29"/>
      <c r="G50" s="29"/>
      <c r="H50" s="2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23"/>
      <c r="D51" s="29"/>
      <c r="E51" s="29"/>
      <c r="F51" s="29"/>
      <c r="G51" s="29"/>
      <c r="H51" s="2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23"/>
      <c r="D52" s="29"/>
      <c r="E52" s="29"/>
      <c r="F52" s="29"/>
      <c r="G52" s="29"/>
      <c r="H52" s="29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23"/>
      <c r="D53" s="29"/>
      <c r="E53" s="29"/>
      <c r="F53" s="29"/>
      <c r="G53" s="29"/>
      <c r="H53" s="2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23"/>
      <c r="D54" s="29"/>
      <c r="E54" s="29"/>
      <c r="F54" s="29"/>
      <c r="G54" s="29"/>
      <c r="H54" s="2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23"/>
      <c r="D55" s="29"/>
      <c r="E55" s="29"/>
      <c r="F55" s="29"/>
      <c r="G55" s="29"/>
      <c r="H55" s="2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23"/>
      <c r="D56" s="29"/>
      <c r="E56" s="29"/>
      <c r="F56" s="29"/>
      <c r="G56" s="29"/>
      <c r="H56" s="2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23"/>
      <c r="D57" s="29"/>
      <c r="E57" s="29"/>
      <c r="F57" s="29"/>
      <c r="G57" s="29"/>
      <c r="H57" s="29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23"/>
      <c r="D58" s="29"/>
      <c r="E58" s="29"/>
      <c r="F58" s="29"/>
      <c r="G58" s="29"/>
      <c r="H58" s="2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23"/>
      <c r="D59" s="29"/>
      <c r="E59" s="29"/>
      <c r="F59" s="29"/>
      <c r="G59" s="29"/>
      <c r="H59" s="29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23"/>
      <c r="D60" s="29"/>
      <c r="E60" s="29"/>
      <c r="F60" s="29"/>
      <c r="G60" s="29"/>
      <c r="H60" s="2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183"/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47"/>
    <col collapsed="false" customWidth="true" hidden="false" outlineLevel="0" max="8" min="4" style="0" width="12"/>
    <col collapsed="false" customWidth="true" hidden="false" outlineLevel="0" max="10" min="10" style="0" width="3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.55" hidden="false" customHeight="false" outlineLevel="0" collapsed="false">
      <c r="A2" s="1"/>
      <c r="B2" s="1"/>
      <c r="C2" s="18" t="s">
        <v>68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9"/>
      <c r="D3" s="19"/>
      <c r="E3" s="19"/>
      <c r="F3" s="19"/>
      <c r="G3" s="19"/>
      <c r="H3" s="1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20" t="s">
        <v>69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2" hidden="false" customHeight="true" outlineLevel="0" collapsed="false">
      <c r="A6" s="1"/>
      <c r="B6" s="1"/>
      <c r="C6" s="9" t="s">
        <v>28</v>
      </c>
      <c r="D6" s="21" t="s">
        <v>29</v>
      </c>
      <c r="E6" s="21" t="s">
        <v>30</v>
      </c>
      <c r="F6" s="21" t="s">
        <v>31</v>
      </c>
      <c r="G6" s="21" t="s">
        <v>32</v>
      </c>
      <c r="H6" s="10" t="s">
        <v>33</v>
      </c>
      <c r="I6" s="1"/>
      <c r="J6" s="22" t="s">
        <v>70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"/>
      <c r="C7" s="30" t="s">
        <v>71</v>
      </c>
      <c r="D7" s="31"/>
      <c r="E7" s="31"/>
      <c r="F7" s="31"/>
      <c r="G7" s="31"/>
      <c r="H7" s="3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"/>
      <c r="C8" s="23" t="s">
        <v>35</v>
      </c>
      <c r="D8" s="40" t="n">
        <v>1320.4</v>
      </c>
      <c r="E8" s="40" t="n">
        <v>1580.7</v>
      </c>
      <c r="F8" s="40" t="n">
        <v>1912.1</v>
      </c>
      <c r="G8" s="40" t="n">
        <v>1931.6</v>
      </c>
      <c r="H8" s="40" t="n">
        <v>1922.6</v>
      </c>
      <c r="I8" s="1"/>
      <c r="J8" s="25" t="s">
        <v>72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23" t="s">
        <v>73</v>
      </c>
      <c r="D9" s="40" t="n">
        <v>16.7</v>
      </c>
      <c r="E9" s="40" t="n">
        <v>49.6</v>
      </c>
      <c r="F9" s="40" t="n">
        <v>42.2</v>
      </c>
      <c r="G9" s="40" t="n">
        <v>39.2</v>
      </c>
      <c r="H9" s="40" t="n">
        <v>30.1</v>
      </c>
      <c r="I9" s="1"/>
      <c r="J9" s="25" t="s">
        <v>72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23" t="s">
        <v>74</v>
      </c>
      <c r="D10" s="40" t="n">
        <v>187.7</v>
      </c>
      <c r="E10" s="40" t="n">
        <v>247.4</v>
      </c>
      <c r="F10" s="40" t="n">
        <v>283.9</v>
      </c>
      <c r="G10" s="40" t="n">
        <v>164.9</v>
      </c>
      <c r="H10" s="40" t="n">
        <v>289.9</v>
      </c>
      <c r="I10" s="1"/>
      <c r="J10" s="25" t="s">
        <v>72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23" t="s">
        <v>75</v>
      </c>
      <c r="D11" s="40" t="n">
        <v>64</v>
      </c>
      <c r="E11" s="40" t="n">
        <v>74.6</v>
      </c>
      <c r="F11" s="40" t="n">
        <v>91.4</v>
      </c>
      <c r="G11" s="40" t="n">
        <v>255.4</v>
      </c>
      <c r="H11" s="40" t="n">
        <v>120.1</v>
      </c>
      <c r="I11" s="1"/>
      <c r="J11" s="25" t="s">
        <v>72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41" t="s">
        <v>76</v>
      </c>
      <c r="D12" s="42" t="n">
        <f aca="false">D10-D11</f>
        <v>123.7</v>
      </c>
      <c r="E12" s="42" t="n">
        <f aca="false">E10-E11</f>
        <v>172.8</v>
      </c>
      <c r="F12" s="42" t="n">
        <f aca="false">F10-F11</f>
        <v>192.5</v>
      </c>
      <c r="G12" s="42" t="n">
        <f aca="false">G10-G11</f>
        <v>-90.5</v>
      </c>
      <c r="H12" s="42" t="n">
        <f aca="false">H10-H11</f>
        <v>169.8</v>
      </c>
      <c r="I12" s="1"/>
      <c r="J12" s="25" t="s">
        <v>72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23" t="s">
        <v>77</v>
      </c>
      <c r="D13" s="40" t="n">
        <v>143.6</v>
      </c>
      <c r="E13" s="40" t="n">
        <v>196.3</v>
      </c>
      <c r="F13" s="40" t="n">
        <v>242.4</v>
      </c>
      <c r="G13" s="40" t="n">
        <v>215.4</v>
      </c>
      <c r="H13" s="40" t="n">
        <v>247.2</v>
      </c>
      <c r="I13" s="1"/>
      <c r="J13" s="25" t="s">
        <v>72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23" t="s">
        <v>78</v>
      </c>
      <c r="D14" s="40" t="n">
        <v>-2.2</v>
      </c>
      <c r="E14" s="40" t="n">
        <v>-19.2</v>
      </c>
      <c r="F14" s="40" t="n">
        <v>9.8</v>
      </c>
      <c r="G14" s="40" t="n">
        <v>15.8</v>
      </c>
      <c r="H14" s="40" t="n">
        <v>14.7</v>
      </c>
      <c r="I14" s="1"/>
      <c r="J14" s="25" t="s">
        <v>72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41" t="s">
        <v>79</v>
      </c>
      <c r="D15" s="42" t="n">
        <f aca="false">D12-D14</f>
        <v>125.9</v>
      </c>
      <c r="E15" s="42" t="n">
        <f aca="false">E12-E14</f>
        <v>192</v>
      </c>
      <c r="F15" s="42" t="n">
        <f aca="false">F12-F14</f>
        <v>182.7</v>
      </c>
      <c r="G15" s="42" t="n">
        <f aca="false">G12-G14</f>
        <v>-106.3</v>
      </c>
      <c r="H15" s="42" t="n">
        <f aca="false">H12-H14</f>
        <v>155.1</v>
      </c>
      <c r="I15" s="1"/>
      <c r="J15" s="25" t="s">
        <v>72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23" t="s">
        <v>80</v>
      </c>
      <c r="D16" s="40" t="n">
        <v>35.9</v>
      </c>
      <c r="E16" s="40" t="n">
        <v>37.6</v>
      </c>
      <c r="F16" s="40" t="n">
        <v>43.1</v>
      </c>
      <c r="G16" s="40" t="n">
        <v>79.4</v>
      </c>
      <c r="H16" s="40" t="n">
        <v>47.6</v>
      </c>
      <c r="I16" s="1"/>
      <c r="J16" s="25" t="s">
        <v>72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41" t="s">
        <v>81</v>
      </c>
      <c r="D17" s="42" t="n">
        <f aca="false">D15-D16</f>
        <v>90</v>
      </c>
      <c r="E17" s="42" t="n">
        <f aca="false">E15-E16</f>
        <v>154.4</v>
      </c>
      <c r="F17" s="42" t="n">
        <f aca="false">F15-F16</f>
        <v>139.6</v>
      </c>
      <c r="G17" s="42" t="n">
        <f aca="false">G15-G16</f>
        <v>-185.7</v>
      </c>
      <c r="H17" s="42" t="n">
        <f aca="false">H15-H16</f>
        <v>107.5</v>
      </c>
      <c r="I17" s="1"/>
      <c r="J17" s="25" t="s">
        <v>72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23" t="s">
        <v>82</v>
      </c>
      <c r="D18" s="40" t="n">
        <v>15.7</v>
      </c>
      <c r="E18" s="40" t="n">
        <v>26.8</v>
      </c>
      <c r="F18" s="40" t="n">
        <v>24.2</v>
      </c>
      <c r="G18" s="40" t="n">
        <v>-33</v>
      </c>
      <c r="H18" s="40" t="n">
        <v>20.1</v>
      </c>
      <c r="I18" s="1"/>
      <c r="J18" s="25" t="s">
        <v>72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23" t="s">
        <v>41</v>
      </c>
      <c r="D19" s="40" t="n">
        <v>20.6</v>
      </c>
      <c r="E19" s="40" t="n">
        <v>26.5</v>
      </c>
      <c r="F19" s="40" t="n">
        <v>29.4</v>
      </c>
      <c r="G19" s="40" t="n">
        <v>26.1</v>
      </c>
      <c r="H19" s="40" t="n">
        <v>31.5</v>
      </c>
      <c r="I19" s="1"/>
      <c r="J19" s="25" t="s">
        <v>72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23"/>
      <c r="D20" s="40"/>
      <c r="E20" s="40"/>
      <c r="F20" s="40"/>
      <c r="G20" s="40"/>
      <c r="H20" s="40"/>
      <c r="I20" s="1"/>
      <c r="J20" s="25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false" outlineLevel="0" collapsed="false">
      <c r="A21" s="1"/>
      <c r="B21" s="1"/>
      <c r="C21" s="30" t="s">
        <v>83</v>
      </c>
      <c r="D21" s="43"/>
      <c r="E21" s="43"/>
      <c r="F21" s="43"/>
      <c r="G21" s="43"/>
      <c r="H21" s="43"/>
      <c r="I21" s="1"/>
      <c r="J21" s="25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false" outlineLevel="0" collapsed="false">
      <c r="A22" s="1"/>
      <c r="B22" s="1"/>
      <c r="C22" s="23" t="s">
        <v>84</v>
      </c>
      <c r="D22" s="40" t="n">
        <v>248.1</v>
      </c>
      <c r="E22" s="40" t="n">
        <v>151.2</v>
      </c>
      <c r="F22" s="40" t="n">
        <v>231</v>
      </c>
      <c r="G22" s="40" t="n">
        <v>290.6</v>
      </c>
      <c r="H22" s="40" t="n">
        <v>259.2</v>
      </c>
      <c r="I22" s="1"/>
      <c r="J22" s="25" t="s">
        <v>85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false" outlineLevel="0" collapsed="false">
      <c r="A23" s="1"/>
      <c r="B23" s="1"/>
      <c r="C23" s="23" t="s">
        <v>86</v>
      </c>
      <c r="D23" s="40" t="n">
        <v>373.2</v>
      </c>
      <c r="E23" s="40" t="n">
        <v>452.6</v>
      </c>
      <c r="F23" s="40" t="n">
        <v>456.8</v>
      </c>
      <c r="G23" s="40" t="n">
        <v>388.4</v>
      </c>
      <c r="H23" s="40" t="n">
        <v>394.9</v>
      </c>
      <c r="I23" s="1"/>
      <c r="J23" s="25" t="s">
        <v>87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false" outlineLevel="0" collapsed="false">
      <c r="A24" s="1"/>
      <c r="B24" s="1"/>
      <c r="C24" s="23" t="s">
        <v>88</v>
      </c>
      <c r="D24" s="40" t="n">
        <v>145.8</v>
      </c>
      <c r="E24" s="40" t="n">
        <v>158</v>
      </c>
      <c r="F24" s="40" t="n">
        <v>171.6</v>
      </c>
      <c r="G24" s="40" t="n">
        <v>154.5</v>
      </c>
      <c r="H24" s="40" t="n">
        <v>178.2</v>
      </c>
      <c r="I24" s="1"/>
      <c r="J24" s="25" t="s">
        <v>87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false" outlineLevel="0" collapsed="false">
      <c r="A25" s="1"/>
      <c r="B25" s="1"/>
      <c r="C25" s="23" t="s">
        <v>89</v>
      </c>
      <c r="D25" s="40" t="n">
        <v>54.9</v>
      </c>
      <c r="E25" s="40" t="n">
        <v>68.8</v>
      </c>
      <c r="F25" s="40" t="n">
        <v>89.2</v>
      </c>
      <c r="G25" s="40" t="n">
        <v>70.7</v>
      </c>
      <c r="H25" s="40" t="n">
        <v>73.7</v>
      </c>
      <c r="I25" s="1"/>
      <c r="J25" s="25" t="s">
        <v>85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false" outlineLevel="0" collapsed="false">
      <c r="A26" s="1"/>
      <c r="B26" s="1"/>
      <c r="C26" s="23" t="s">
        <v>90</v>
      </c>
      <c r="D26" s="40" t="n">
        <v>414.5</v>
      </c>
      <c r="E26" s="40" t="n">
        <v>477.8</v>
      </c>
      <c r="F26" s="40" t="n">
        <v>531.8</v>
      </c>
      <c r="G26" s="40" t="n">
        <v>473.3</v>
      </c>
      <c r="H26" s="40" t="n">
        <v>444.6</v>
      </c>
      <c r="I26" s="1"/>
      <c r="J26" s="25" t="s">
        <v>85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1"/>
      <c r="B27" s="1"/>
      <c r="C27" s="23" t="s">
        <v>91</v>
      </c>
      <c r="D27" s="40" t="n">
        <v>289.7</v>
      </c>
      <c r="E27" s="40" t="n">
        <v>752</v>
      </c>
      <c r="F27" s="40" t="n">
        <v>723.2</v>
      </c>
      <c r="G27" s="40" t="n">
        <v>543.7</v>
      </c>
      <c r="H27" s="40" t="n">
        <v>486.3</v>
      </c>
      <c r="I27" s="1"/>
      <c r="J27" s="25" t="s">
        <v>85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false" outlineLevel="0" collapsed="false">
      <c r="A28" s="1"/>
      <c r="B28" s="1"/>
      <c r="C28" s="41" t="s">
        <v>92</v>
      </c>
      <c r="D28" s="42" t="n">
        <v>1768.7</v>
      </c>
      <c r="E28" s="42" t="n">
        <v>2072.1</v>
      </c>
      <c r="F28" s="42" t="n">
        <v>2106.2</v>
      </c>
      <c r="G28" s="42" t="n">
        <v>1828.4</v>
      </c>
      <c r="H28" s="42" t="n">
        <v>1738.4</v>
      </c>
      <c r="I28" s="1"/>
      <c r="J28" s="25" t="s">
        <v>85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false" outlineLevel="0" collapsed="false">
      <c r="A29" s="1"/>
      <c r="B29" s="1"/>
      <c r="C29" s="23" t="s">
        <v>93</v>
      </c>
      <c r="D29" s="40" t="n">
        <v>474.7</v>
      </c>
      <c r="E29" s="40" t="n">
        <v>575.2</v>
      </c>
      <c r="F29" s="40" t="n">
        <v>654.7</v>
      </c>
      <c r="G29" s="40" t="n">
        <v>597.5</v>
      </c>
      <c r="H29" s="40" t="n">
        <v>585.6</v>
      </c>
      <c r="I29" s="1"/>
      <c r="J29" s="25" t="s">
        <v>85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false" outlineLevel="0" collapsed="false">
      <c r="A30" s="1"/>
      <c r="B30" s="1"/>
      <c r="C30" s="23" t="s">
        <v>94</v>
      </c>
      <c r="D30" s="40" t="n">
        <v>182.5</v>
      </c>
      <c r="E30" s="40" t="n">
        <v>216.9</v>
      </c>
      <c r="F30" s="40" t="n">
        <v>212.6</v>
      </c>
      <c r="G30" s="40" t="n">
        <v>207</v>
      </c>
      <c r="H30" s="40" t="n">
        <v>158.3</v>
      </c>
      <c r="I30" s="1"/>
      <c r="J30" s="25" t="s">
        <v>95</v>
      </c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false" outlineLevel="0" collapsed="false">
      <c r="A31" s="1"/>
      <c r="B31" s="1"/>
      <c r="C31" s="23" t="s">
        <v>96</v>
      </c>
      <c r="D31" s="40" t="n">
        <v>27.1</v>
      </c>
      <c r="E31" s="40" t="n">
        <v>26.8</v>
      </c>
      <c r="F31" s="40" t="n">
        <v>19.5</v>
      </c>
      <c r="G31" s="40" t="n">
        <v>59.7</v>
      </c>
      <c r="H31" s="40" t="n">
        <v>50.7</v>
      </c>
      <c r="I31" s="1"/>
      <c r="J31" s="25" t="s">
        <v>85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false" outlineLevel="0" collapsed="false">
      <c r="A32" s="1"/>
      <c r="B32" s="1"/>
      <c r="C32" s="23" t="s">
        <v>97</v>
      </c>
      <c r="D32" s="40" t="n">
        <v>24.1</v>
      </c>
      <c r="E32" s="40" t="n">
        <v>370</v>
      </c>
      <c r="F32" s="40" t="n">
        <v>393.3</v>
      </c>
      <c r="G32" s="40" t="n">
        <v>431.7</v>
      </c>
      <c r="H32" s="40" t="n">
        <v>423.9</v>
      </c>
      <c r="I32" s="1"/>
      <c r="J32" s="25" t="s">
        <v>85</v>
      </c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false" outlineLevel="0" collapsed="false">
      <c r="A33" s="1"/>
      <c r="B33" s="1"/>
      <c r="C33" s="41" t="s">
        <v>98</v>
      </c>
      <c r="D33" s="42" t="n">
        <v>727.3</v>
      </c>
      <c r="E33" s="42" t="n">
        <v>1103.8</v>
      </c>
      <c r="F33" s="42" t="n">
        <v>1180.1</v>
      </c>
      <c r="G33" s="42" t="n">
        <v>1201.9</v>
      </c>
      <c r="H33" s="42" t="n">
        <v>1185.4</v>
      </c>
      <c r="I33" s="1"/>
      <c r="J33" s="25" t="s">
        <v>85</v>
      </c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1"/>
      <c r="B34" s="1"/>
      <c r="C34" s="41" t="s">
        <v>99</v>
      </c>
      <c r="D34" s="42" t="n">
        <v>1041.4</v>
      </c>
      <c r="E34" s="42" t="n">
        <v>968.3</v>
      </c>
      <c r="F34" s="42" t="n">
        <v>926.1</v>
      </c>
      <c r="G34" s="42" t="n">
        <v>626.5</v>
      </c>
      <c r="H34" s="42" t="n">
        <v>553</v>
      </c>
      <c r="I34" s="1"/>
      <c r="J34" s="25" t="s">
        <v>85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false" outlineLevel="0" collapsed="false">
      <c r="A35" s="1"/>
      <c r="B35" s="1"/>
      <c r="C35" s="44" t="s">
        <v>100</v>
      </c>
      <c r="D35" s="45" t="n">
        <f aca="false">ROUND(D28-D33-D34,2)</f>
        <v>0</v>
      </c>
      <c r="E35" s="45" t="n">
        <f aca="false">ROUND(E28-E33-E34,2)</f>
        <v>0</v>
      </c>
      <c r="F35" s="45" t="n">
        <f aca="false">ROUND(F28-F33-F34,2)</f>
        <v>0</v>
      </c>
      <c r="G35" s="45" t="n">
        <f aca="false">ROUND(G28-G33-G34,2)</f>
        <v>0</v>
      </c>
      <c r="H35" s="45" t="n">
        <f aca="false">ROUND(H28-H33-H34,2)</f>
        <v>0</v>
      </c>
      <c r="I35" s="1"/>
      <c r="J35" s="25" t="s">
        <v>101</v>
      </c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false" outlineLevel="0" collapsed="false">
      <c r="A36" s="1"/>
      <c r="B36" s="1"/>
      <c r="C36" s="23"/>
      <c r="D36" s="40"/>
      <c r="E36" s="40"/>
      <c r="F36" s="40"/>
      <c r="G36" s="40"/>
      <c r="H36" s="40"/>
      <c r="I36" s="1"/>
      <c r="J36" s="25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false" outlineLevel="0" collapsed="false">
      <c r="A37" s="1"/>
      <c r="B37" s="1"/>
      <c r="C37" s="30" t="s">
        <v>102</v>
      </c>
      <c r="D37" s="43"/>
      <c r="E37" s="43"/>
      <c r="F37" s="43"/>
      <c r="G37" s="43"/>
      <c r="H37" s="43"/>
      <c r="I37" s="1"/>
      <c r="J37" s="25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false" outlineLevel="0" collapsed="false">
      <c r="A38" s="1"/>
      <c r="B38" s="1"/>
      <c r="C38" s="23" t="s">
        <v>81</v>
      </c>
      <c r="D38" s="46" t="n">
        <f aca="false">D17</f>
        <v>90</v>
      </c>
      <c r="E38" s="46" t="n">
        <f aca="false">E17</f>
        <v>154.4</v>
      </c>
      <c r="F38" s="46" t="n">
        <f aca="false">F17</f>
        <v>139.6</v>
      </c>
      <c r="G38" s="46" t="n">
        <f aca="false">G17</f>
        <v>-185.7</v>
      </c>
      <c r="H38" s="46" t="n">
        <f aca="false">H17</f>
        <v>107.5</v>
      </c>
      <c r="I38" s="1"/>
      <c r="J38" s="25" t="s">
        <v>103</v>
      </c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false" outlineLevel="0" collapsed="false">
      <c r="A39" s="1"/>
      <c r="B39" s="1"/>
      <c r="C39" s="23" t="s">
        <v>104</v>
      </c>
      <c r="D39" s="46" t="n">
        <f aca="false">D11</f>
        <v>64</v>
      </c>
      <c r="E39" s="46" t="n">
        <f aca="false">E11</f>
        <v>74.6</v>
      </c>
      <c r="F39" s="46" t="n">
        <f aca="false">F11</f>
        <v>91.4</v>
      </c>
      <c r="G39" s="46" t="n">
        <f aca="false">G11</f>
        <v>255.4</v>
      </c>
      <c r="H39" s="46" t="n">
        <f aca="false">H11</f>
        <v>120.1</v>
      </c>
      <c r="I39" s="1"/>
      <c r="J39" s="25" t="s">
        <v>103</v>
      </c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false" outlineLevel="0" collapsed="false">
      <c r="A40" s="1"/>
      <c r="B40" s="1"/>
      <c r="C40" s="23" t="s">
        <v>105</v>
      </c>
      <c r="D40" s="40" t="n">
        <v>22</v>
      </c>
      <c r="E40" s="40" t="n">
        <v>-7.7</v>
      </c>
      <c r="F40" s="40" t="n">
        <v>9.8</v>
      </c>
      <c r="G40" s="40" t="n">
        <v>49.8</v>
      </c>
      <c r="H40" s="40" t="n">
        <v>-15.5</v>
      </c>
      <c r="I40" s="1"/>
      <c r="J40" s="25" t="s">
        <v>103</v>
      </c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false" outlineLevel="0" collapsed="false">
      <c r="A41" s="1"/>
      <c r="B41" s="1"/>
      <c r="C41" s="23" t="s">
        <v>106</v>
      </c>
      <c r="D41" s="40" t="n">
        <v>12.7</v>
      </c>
      <c r="E41" s="40" t="n">
        <v>-15.3</v>
      </c>
      <c r="F41" s="40" t="n">
        <v>2.3</v>
      </c>
      <c r="G41" s="40" t="n">
        <v>101.8</v>
      </c>
      <c r="H41" s="40" t="n">
        <v>19.7</v>
      </c>
      <c r="I41" s="1"/>
      <c r="J41" s="25" t="s">
        <v>103</v>
      </c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1"/>
      <c r="B42" s="1"/>
      <c r="C42" s="41" t="s">
        <v>107</v>
      </c>
      <c r="D42" s="42" t="n">
        <f aca="false">SUM(D38:D41)</f>
        <v>188.7</v>
      </c>
      <c r="E42" s="42" t="n">
        <f aca="false">SUM(E38:E41)</f>
        <v>206</v>
      </c>
      <c r="F42" s="42" t="n">
        <f aca="false">SUM(F38:F41)</f>
        <v>243.1</v>
      </c>
      <c r="G42" s="42" t="n">
        <f aca="false">SUM(G38:G41)</f>
        <v>221.3</v>
      </c>
      <c r="H42" s="42" t="n">
        <f aca="false">SUM(H38:H41)</f>
        <v>231.8</v>
      </c>
      <c r="I42" s="1"/>
      <c r="J42" s="25" t="s">
        <v>103</v>
      </c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false" outlineLevel="0" collapsed="false">
      <c r="A43" s="1"/>
      <c r="B43" s="1"/>
      <c r="C43" s="23" t="s">
        <v>108</v>
      </c>
      <c r="D43" s="40" t="n">
        <v>-84.3</v>
      </c>
      <c r="E43" s="40" t="n">
        <v>-109</v>
      </c>
      <c r="F43" s="40" t="n">
        <v>-96.3</v>
      </c>
      <c r="G43" s="40" t="n">
        <v>-108.8</v>
      </c>
      <c r="H43" s="40" t="n">
        <v>-72.5</v>
      </c>
      <c r="I43" s="1"/>
      <c r="J43" s="25" t="s">
        <v>109</v>
      </c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false" outlineLevel="0" collapsed="false">
      <c r="A44" s="1"/>
      <c r="B44" s="1"/>
      <c r="C44" s="23" t="s">
        <v>110</v>
      </c>
      <c r="D44" s="40" t="n">
        <v>2.7</v>
      </c>
      <c r="E44" s="40" t="n">
        <v>-355.4</v>
      </c>
      <c r="F44" s="40" t="n">
        <v>-2.8</v>
      </c>
      <c r="G44" s="40" t="n">
        <v>109.2</v>
      </c>
      <c r="H44" s="40" t="n">
        <v>17.9</v>
      </c>
      <c r="I44" s="1"/>
      <c r="J44" s="25" t="s">
        <v>109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false" outlineLevel="0" collapsed="false">
      <c r="A45" s="1"/>
      <c r="B45" s="1"/>
      <c r="C45" s="41" t="s">
        <v>111</v>
      </c>
      <c r="D45" s="42" t="n">
        <f aca="false">SUM(D43:D44)</f>
        <v>-81.6</v>
      </c>
      <c r="E45" s="42" t="n">
        <f aca="false">SUM(E43:E44)</f>
        <v>-464.4</v>
      </c>
      <c r="F45" s="42" t="n">
        <f aca="false">SUM(F43:F44)</f>
        <v>-99.1</v>
      </c>
      <c r="G45" s="42" t="n">
        <f aca="false">SUM(G43:G44)</f>
        <v>0.400000000000006</v>
      </c>
      <c r="H45" s="42" t="n">
        <f aca="false">SUM(H43:H44)</f>
        <v>-54.6</v>
      </c>
      <c r="I45" s="1"/>
      <c r="J45" s="25" t="s">
        <v>109</v>
      </c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false" outlineLevel="0" collapsed="false">
      <c r="A46" s="1"/>
      <c r="B46" s="1"/>
      <c r="C46" s="23" t="s">
        <v>112</v>
      </c>
      <c r="D46" s="40" t="n">
        <v>-9.4</v>
      </c>
      <c r="E46" s="40" t="n">
        <v>203.1</v>
      </c>
      <c r="F46" s="40" t="n">
        <v>-0.5</v>
      </c>
      <c r="G46" s="40" t="n">
        <v>-1.6</v>
      </c>
      <c r="H46" s="40" t="n">
        <v>-12.6</v>
      </c>
      <c r="I46" s="1"/>
      <c r="J46" s="25" t="s">
        <v>109</v>
      </c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false" outlineLevel="0" collapsed="false">
      <c r="A47" s="1"/>
      <c r="B47" s="1"/>
      <c r="C47" s="23" t="s">
        <v>113</v>
      </c>
      <c r="D47" s="40" t="n">
        <v>-40.2</v>
      </c>
      <c r="E47" s="40" t="n">
        <v>-42.6</v>
      </c>
      <c r="F47" s="40" t="n">
        <v>-45.6</v>
      </c>
      <c r="G47" s="40" t="n">
        <v>-47.9</v>
      </c>
      <c r="H47" s="40" t="n">
        <v>-48.7</v>
      </c>
      <c r="I47" s="1"/>
      <c r="J47" s="25" t="s">
        <v>109</v>
      </c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false" outlineLevel="0" collapsed="false">
      <c r="A48" s="1"/>
      <c r="B48" s="1"/>
      <c r="C48" s="23" t="s">
        <v>114</v>
      </c>
      <c r="D48" s="40" t="n">
        <v>-0.8</v>
      </c>
      <c r="E48" s="40" t="n">
        <v>-0.8</v>
      </c>
      <c r="F48" s="40" t="n">
        <v>-17.1</v>
      </c>
      <c r="G48" s="40" t="n">
        <v>-108.9</v>
      </c>
      <c r="H48" s="40" t="n">
        <v>-146.9</v>
      </c>
      <c r="I48" s="1"/>
      <c r="J48" s="25" t="s">
        <v>109</v>
      </c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41" t="s">
        <v>115</v>
      </c>
      <c r="D49" s="42" t="n">
        <f aca="false">SUM(D46:D48)</f>
        <v>-50.4</v>
      </c>
      <c r="E49" s="42" t="n">
        <f aca="false">SUM(E46:E48)</f>
        <v>159.7</v>
      </c>
      <c r="F49" s="42" t="n">
        <f aca="false">SUM(F46:F48)</f>
        <v>-63.2</v>
      </c>
      <c r="G49" s="42" t="n">
        <f aca="false">SUM(G46:G48)</f>
        <v>-158.4</v>
      </c>
      <c r="H49" s="42" t="n">
        <f aca="false">SUM(H46:H48)</f>
        <v>-208.2</v>
      </c>
      <c r="I49" s="1"/>
      <c r="J49" s="25" t="s">
        <v>109</v>
      </c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23" t="s">
        <v>116</v>
      </c>
      <c r="D50" s="40" t="n">
        <v>1.3</v>
      </c>
      <c r="E50" s="40" t="n">
        <v>1.8</v>
      </c>
      <c r="F50" s="40" t="n">
        <v>-1</v>
      </c>
      <c r="G50" s="40" t="n">
        <v>-3.7</v>
      </c>
      <c r="H50" s="40" t="n">
        <v>-0.4</v>
      </c>
      <c r="I50" s="1"/>
      <c r="J50" s="25" t="s">
        <v>109</v>
      </c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41" t="s">
        <v>117</v>
      </c>
      <c r="D51" s="42" t="n">
        <f aca="false">SUM(D42,D45,D49,D50)</f>
        <v>58</v>
      </c>
      <c r="E51" s="42" t="n">
        <f aca="false">SUM(E42,E45,E49,E50)</f>
        <v>-96.9</v>
      </c>
      <c r="F51" s="42" t="n">
        <f aca="false">SUM(F42,F45,F49,F50)</f>
        <v>79.8</v>
      </c>
      <c r="G51" s="42" t="n">
        <f aca="false">SUM(G42,G45,G49,G50)</f>
        <v>59.6</v>
      </c>
      <c r="H51" s="42" t="n">
        <f aca="false">SUM(H42,H45,H49,H50)</f>
        <v>-31.4</v>
      </c>
      <c r="I51" s="1"/>
      <c r="J51" s="25" t="s">
        <v>109</v>
      </c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44" t="s">
        <v>118</v>
      </c>
      <c r="D52" s="45"/>
      <c r="E52" s="45" t="n">
        <f aca="false">ROUND(E22-D22-E51,2)</f>
        <v>0</v>
      </c>
      <c r="F52" s="45" t="n">
        <f aca="false">ROUND(F22-E22-F51,2)</f>
        <v>0</v>
      </c>
      <c r="G52" s="45" t="n">
        <f aca="false">ROUND(G22-F22-G51,2)</f>
        <v>0</v>
      </c>
      <c r="H52" s="45" t="n">
        <f aca="false">ROUND(H22-G22-H51,2)</f>
        <v>0</v>
      </c>
      <c r="I52" s="1"/>
      <c r="J52" s="25" t="s">
        <v>119</v>
      </c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23"/>
      <c r="D53" s="29"/>
      <c r="E53" s="29"/>
      <c r="F53" s="29"/>
      <c r="G53" s="29"/>
      <c r="H53" s="29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23"/>
      <c r="D54" s="29"/>
      <c r="E54" s="29"/>
      <c r="F54" s="29"/>
      <c r="G54" s="29"/>
      <c r="H54" s="29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23"/>
      <c r="D55" s="29"/>
      <c r="E55" s="29"/>
      <c r="F55" s="29"/>
      <c r="G55" s="29"/>
      <c r="H55" s="29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23"/>
      <c r="D56" s="29"/>
      <c r="E56" s="29"/>
      <c r="F56" s="29"/>
      <c r="G56" s="29"/>
      <c r="H56" s="29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23"/>
      <c r="D57" s="29"/>
      <c r="E57" s="29"/>
      <c r="F57" s="29"/>
      <c r="G57" s="29"/>
      <c r="H57" s="29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23"/>
      <c r="D58" s="29"/>
      <c r="E58" s="29"/>
      <c r="F58" s="29"/>
      <c r="G58" s="29"/>
      <c r="H58" s="29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23"/>
      <c r="D59" s="29"/>
      <c r="E59" s="29"/>
      <c r="F59" s="29"/>
      <c r="G59" s="29"/>
      <c r="H59" s="29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23"/>
      <c r="D60" s="29"/>
      <c r="E60" s="29"/>
      <c r="F60" s="29"/>
      <c r="G60" s="29"/>
      <c r="H60" s="29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10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0" width="50"/>
    <col collapsed="false" customWidth="true" hidden="false" outlineLevel="0" max="7" min="7" style="0" width="28"/>
    <col collapsed="false" customWidth="true" hidden="false" outlineLevel="0" max="8" min="8" style="0" width="7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8.55" hidden="false" customHeight="false" outlineLevel="0" collapsed="false">
      <c r="A2" s="1"/>
      <c r="B2" s="1"/>
      <c r="C2" s="18" t="s">
        <v>20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9"/>
      <c r="D3" s="19"/>
      <c r="E3" s="19"/>
      <c r="F3" s="19"/>
      <c r="G3" s="19"/>
      <c r="H3" s="19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20" t="s">
        <v>120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22" hidden="false" customHeight="true" outlineLevel="0" collapsed="false">
      <c r="A6" s="1"/>
      <c r="B6" s="1"/>
      <c r="C6" s="9" t="s">
        <v>121</v>
      </c>
      <c r="D6" s="21" t="s">
        <v>122</v>
      </c>
      <c r="E6" s="21" t="s">
        <v>123</v>
      </c>
      <c r="F6" s="21" t="s">
        <v>124</v>
      </c>
      <c r="G6" s="21" t="s">
        <v>125</v>
      </c>
      <c r="H6" s="10" t="s">
        <v>126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34" hidden="false" customHeight="true" outlineLevel="0" collapsed="false">
      <c r="A7" s="1"/>
      <c r="B7" s="1"/>
      <c r="C7" s="47" t="s">
        <v>127</v>
      </c>
      <c r="D7" s="48" t="s">
        <v>128</v>
      </c>
      <c r="E7" s="49" t="n">
        <v>46163</v>
      </c>
      <c r="F7" s="48" t="s">
        <v>129</v>
      </c>
      <c r="G7" s="50" t="s">
        <v>130</v>
      </c>
      <c r="H7" s="50" t="s">
        <v>131</v>
      </c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34" hidden="false" customHeight="true" outlineLevel="0" collapsed="false">
      <c r="A8" s="1"/>
      <c r="B8" s="1"/>
      <c r="C8" s="47" t="s">
        <v>132</v>
      </c>
      <c r="D8" s="48" t="s">
        <v>133</v>
      </c>
      <c r="E8" s="49" t="n">
        <v>46219</v>
      </c>
      <c r="F8" s="48" t="s">
        <v>134</v>
      </c>
      <c r="G8" s="50" t="s">
        <v>135</v>
      </c>
      <c r="H8" s="50" t="s">
        <v>136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34" hidden="false" customHeight="true" outlineLevel="0" collapsed="false">
      <c r="A9" s="1"/>
      <c r="B9" s="1"/>
      <c r="C9" s="47" t="s">
        <v>137</v>
      </c>
      <c r="D9" s="48" t="s">
        <v>138</v>
      </c>
      <c r="E9" s="49"/>
      <c r="F9" s="48" t="s">
        <v>139</v>
      </c>
      <c r="G9" s="50" t="s">
        <v>138</v>
      </c>
      <c r="H9" s="50" t="s">
        <v>140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34" hidden="false" customHeight="true" outlineLevel="0" collapsed="false">
      <c r="A10" s="1"/>
      <c r="B10" s="1"/>
      <c r="C10" s="47" t="s">
        <v>141</v>
      </c>
      <c r="D10" s="48" t="s">
        <v>142</v>
      </c>
      <c r="E10" s="49" t="n">
        <v>46163</v>
      </c>
      <c r="F10" s="48" t="s">
        <v>143</v>
      </c>
      <c r="G10" s="50" t="s">
        <v>144</v>
      </c>
      <c r="H10" s="50" t="s">
        <v>145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34" hidden="false" customHeight="true" outlineLevel="0" collapsed="false">
      <c r="A11" s="1"/>
      <c r="B11" s="1"/>
      <c r="C11" s="47" t="s">
        <v>146</v>
      </c>
      <c r="D11" s="48" t="s">
        <v>147</v>
      </c>
      <c r="E11" s="49" t="n">
        <v>39609</v>
      </c>
      <c r="F11" s="48" t="s">
        <v>148</v>
      </c>
      <c r="G11" s="50" t="s">
        <v>149</v>
      </c>
      <c r="H11" s="50" t="s">
        <v>150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34" hidden="false" customHeight="true" outlineLevel="0" collapsed="false">
      <c r="A12" s="1"/>
      <c r="B12" s="1"/>
      <c r="C12" s="47" t="s">
        <v>151</v>
      </c>
      <c r="D12" s="48" t="s">
        <v>152</v>
      </c>
      <c r="E12" s="49" t="n">
        <v>46163</v>
      </c>
      <c r="F12" s="48" t="s">
        <v>153</v>
      </c>
      <c r="G12" s="50" t="s">
        <v>154</v>
      </c>
      <c r="H12" s="50" t="s">
        <v>155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51" t="s">
        <v>156</v>
      </c>
      <c r="D13" s="52" t="s">
        <v>157</v>
      </c>
      <c r="E13" s="53" t="n">
        <v>45799</v>
      </c>
      <c r="F13" s="52" t="s">
        <v>158</v>
      </c>
      <c r="G13" s="52" t="s">
        <v>159</v>
      </c>
      <c r="H13" s="52" t="s">
        <v>160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3.85" hidden="false" customHeight="false" outlineLevel="0" collapsed="false">
      <c r="A14" s="1"/>
      <c r="B14" s="1"/>
      <c r="C14" s="51" t="s">
        <v>161</v>
      </c>
      <c r="D14" s="52" t="s">
        <v>162</v>
      </c>
      <c r="E14" s="53" t="n">
        <v>45071</v>
      </c>
      <c r="F14" s="52" t="s">
        <v>163</v>
      </c>
      <c r="G14" s="52" t="s">
        <v>164</v>
      </c>
      <c r="H14" s="52" t="s">
        <v>165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54" t="s">
        <v>166</v>
      </c>
      <c r="D15" s="54" t="s">
        <v>167</v>
      </c>
      <c r="E15" s="55" t="n">
        <v>45435</v>
      </c>
      <c r="F15" s="54" t="s">
        <v>168</v>
      </c>
      <c r="G15" s="54" t="s">
        <v>169</v>
      </c>
      <c r="H15" s="54" t="s">
        <v>170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56" t="s">
        <v>171</v>
      </c>
      <c r="D16" s="56" t="s">
        <v>172</v>
      </c>
      <c r="E16" s="57" t="n">
        <v>44700</v>
      </c>
      <c r="F16" s="56" t="s">
        <v>173</v>
      </c>
      <c r="G16" s="56" t="s">
        <v>174</v>
      </c>
      <c r="H16" s="56" t="s">
        <v>175</v>
      </c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G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1"/>
    <col collapsed="false" customWidth="true" hidden="false" outlineLevel="0" max="7" min="2" style="0" width="14"/>
  </cols>
  <sheetData>
    <row r="1" customFormat="false" ht="24" hidden="false" customHeight="true" outlineLevel="0" collapsed="false">
      <c r="A1" s="58" t="s">
        <v>176</v>
      </c>
      <c r="B1" s="58"/>
      <c r="C1" s="58"/>
      <c r="D1" s="58"/>
      <c r="E1" s="58"/>
      <c r="F1" s="58"/>
      <c r="G1" s="58"/>
    </row>
    <row r="2" customFormat="false" ht="15" hidden="false" customHeight="false" outlineLevel="0" collapsed="false">
      <c r="A2" s="59" t="s">
        <v>177</v>
      </c>
      <c r="B2" s="59"/>
      <c r="C2" s="59"/>
      <c r="D2" s="59"/>
      <c r="E2" s="59"/>
      <c r="F2" s="59"/>
      <c r="G2" s="59"/>
    </row>
    <row r="4" customFormat="false" ht="15" hidden="false" customHeight="false" outlineLevel="0" collapsed="false">
      <c r="A4" s="60" t="s">
        <v>178</v>
      </c>
      <c r="B4" s="60"/>
      <c r="C4" s="60"/>
      <c r="D4" s="60"/>
      <c r="E4" s="60"/>
      <c r="F4" s="60"/>
    </row>
    <row r="5" customFormat="false" ht="15" hidden="false" customHeight="false" outlineLevel="0" collapsed="false">
      <c r="A5" s="61" t="s">
        <v>179</v>
      </c>
      <c r="B5" s="62" t="s">
        <v>180</v>
      </c>
      <c r="C5" s="62" t="s">
        <v>181</v>
      </c>
      <c r="D5" s="62" t="s">
        <v>182</v>
      </c>
      <c r="E5" s="62" t="s">
        <v>183</v>
      </c>
      <c r="F5" s="62" t="s">
        <v>184</v>
      </c>
    </row>
    <row r="6" customFormat="false" ht="15" hidden="false" customHeight="false" outlineLevel="0" collapsed="false">
      <c r="A6" s="63" t="s">
        <v>185</v>
      </c>
      <c r="B6" s="64" t="n">
        <v>0.05</v>
      </c>
      <c r="C6" s="64" t="n">
        <v>0.05</v>
      </c>
      <c r="D6" s="64" t="n">
        <v>0.045</v>
      </c>
      <c r="E6" s="64" t="n">
        <v>0.04</v>
      </c>
      <c r="F6" s="64" t="n">
        <v>0.035</v>
      </c>
    </row>
    <row r="7" customFormat="false" ht="15" hidden="false" customHeight="false" outlineLevel="0" collapsed="false">
      <c r="A7" s="63" t="s">
        <v>186</v>
      </c>
      <c r="B7" s="64" t="n">
        <v>0</v>
      </c>
      <c r="C7" s="64" t="n">
        <v>0.02</v>
      </c>
      <c r="D7" s="64" t="n">
        <v>0.03</v>
      </c>
      <c r="E7" s="64" t="n">
        <v>0.03</v>
      </c>
      <c r="F7" s="64" t="n">
        <v>0.03</v>
      </c>
    </row>
    <row r="8" customFormat="false" ht="15" hidden="false" customHeight="false" outlineLevel="0" collapsed="false">
      <c r="A8" s="63" t="s">
        <v>187</v>
      </c>
      <c r="B8" s="64" t="n">
        <v>0.119</v>
      </c>
      <c r="C8" s="64" t="n">
        <v>0.12</v>
      </c>
      <c r="D8" s="64" t="n">
        <v>0.121</v>
      </c>
      <c r="E8" s="64" t="n">
        <v>0.121</v>
      </c>
      <c r="F8" s="64" t="n">
        <v>0.12</v>
      </c>
    </row>
    <row r="9" customFormat="false" ht="15" hidden="false" customHeight="false" outlineLevel="0" collapsed="false">
      <c r="A9" s="63" t="s">
        <v>188</v>
      </c>
      <c r="B9" s="64" t="n">
        <v>0.085</v>
      </c>
      <c r="C9" s="64" t="n">
        <v>0.09</v>
      </c>
      <c r="D9" s="64" t="n">
        <v>0.095</v>
      </c>
      <c r="E9" s="64" t="n">
        <v>0.098</v>
      </c>
      <c r="F9" s="64" t="n">
        <v>0.1</v>
      </c>
    </row>
    <row r="11" customFormat="false" ht="15" hidden="false" customHeight="true" outlineLevel="0" collapsed="false">
      <c r="A11" s="65" t="s">
        <v>189</v>
      </c>
      <c r="B11" s="65"/>
      <c r="C11" s="65"/>
      <c r="D11" s="65"/>
      <c r="E11" s="65"/>
      <c r="F11" s="65"/>
      <c r="G11" s="65"/>
    </row>
    <row r="13" customFormat="false" ht="15" hidden="false" customHeight="false" outlineLevel="0" collapsed="false">
      <c r="A13" s="60" t="s">
        <v>190</v>
      </c>
      <c r="B13" s="60"/>
      <c r="C13" s="60"/>
      <c r="D13" s="60"/>
      <c r="E13" s="60"/>
      <c r="F13" s="60"/>
      <c r="G13" s="60"/>
    </row>
    <row r="14" customFormat="false" ht="15" hidden="false" customHeight="false" outlineLevel="0" collapsed="false">
      <c r="A14" s="61" t="s">
        <v>191</v>
      </c>
      <c r="B14" s="62" t="s">
        <v>192</v>
      </c>
      <c r="C14" s="62" t="s">
        <v>180</v>
      </c>
      <c r="D14" s="62" t="s">
        <v>181</v>
      </c>
      <c r="E14" s="62" t="s">
        <v>182</v>
      </c>
      <c r="F14" s="62" t="s">
        <v>183</v>
      </c>
      <c r="G14" s="62" t="s">
        <v>184</v>
      </c>
    </row>
    <row r="15" customFormat="false" ht="15" hidden="false" customHeight="false" outlineLevel="0" collapsed="false">
      <c r="A15" s="63" t="s">
        <v>193</v>
      </c>
      <c r="B15" s="66" t="n">
        <v>1529.2</v>
      </c>
      <c r="C15" s="67" t="n">
        <f aca="false">B15*(1+B$6)</f>
        <v>1605.66</v>
      </c>
      <c r="D15" s="67" t="n">
        <f aca="false">C15*(1+C$6)</f>
        <v>1685.943</v>
      </c>
      <c r="E15" s="67" t="n">
        <f aca="false">D15*(1+D$6)</f>
        <v>1761.810435</v>
      </c>
      <c r="F15" s="67" t="n">
        <f aca="false">E15*(1+E$6)</f>
        <v>1832.2828524</v>
      </c>
      <c r="G15" s="67" t="n">
        <f aca="false">F15*(1+F$6)</f>
        <v>1896.412752234</v>
      </c>
    </row>
    <row r="16" customFormat="false" ht="15" hidden="false" customHeight="false" outlineLevel="0" collapsed="false">
      <c r="A16" s="63" t="s">
        <v>194</v>
      </c>
      <c r="B16" s="66" t="n">
        <v>393.4</v>
      </c>
      <c r="C16" s="67" t="n">
        <f aca="false">B16*(1+B$7)</f>
        <v>393.4</v>
      </c>
      <c r="D16" s="67" t="n">
        <f aca="false">C16*(1+C$7)</f>
        <v>401.268</v>
      </c>
      <c r="E16" s="67" t="n">
        <f aca="false">D16*(1+D$7)</f>
        <v>413.30604</v>
      </c>
      <c r="F16" s="67" t="n">
        <f aca="false">E16*(1+E$7)</f>
        <v>425.7052212</v>
      </c>
      <c r="G16" s="67" t="n">
        <f aca="false">F16*(1+F$7)</f>
        <v>438.476377836</v>
      </c>
    </row>
    <row r="17" customFormat="false" ht="15" hidden="false" customHeight="false" outlineLevel="0" collapsed="false">
      <c r="A17" s="68" t="s">
        <v>195</v>
      </c>
      <c r="B17" s="69" t="n">
        <f aca="false">SUM(B15:B16)</f>
        <v>1922.6</v>
      </c>
      <c r="C17" s="69" t="n">
        <f aca="false">SUM(C15:C16)</f>
        <v>1999.06</v>
      </c>
      <c r="D17" s="69" t="n">
        <f aca="false">SUM(D15:D16)</f>
        <v>2087.211</v>
      </c>
      <c r="E17" s="69" t="n">
        <f aca="false">SUM(E15:E16)</f>
        <v>2175.116475</v>
      </c>
      <c r="F17" s="69" t="n">
        <f aca="false">SUM(F15:F16)</f>
        <v>2257.9880736</v>
      </c>
      <c r="G17" s="69" t="n">
        <f aca="false">SUM(G15:G16)</f>
        <v>2334.88913007</v>
      </c>
    </row>
    <row r="18" customFormat="false" ht="15" hidden="false" customHeight="false" outlineLevel="0" collapsed="false">
      <c r="A18" s="63" t="s">
        <v>196</v>
      </c>
      <c r="B18" s="70"/>
      <c r="C18" s="70" t="n">
        <f aca="false">C17/B17-1</f>
        <v>0.0397690627275564</v>
      </c>
      <c r="D18" s="70" t="n">
        <f aca="false">D17/C17-1</f>
        <v>0.0440962252258563</v>
      </c>
      <c r="E18" s="70" t="n">
        <f aca="false">E17/D17-1</f>
        <v>0.0421162378887425</v>
      </c>
      <c r="F18" s="70" t="n">
        <f aca="false">F17/E17-1</f>
        <v>0.038099844101452</v>
      </c>
      <c r="G18" s="70" t="n">
        <f aca="false">G17/F17-1</f>
        <v>0.0340573350980518</v>
      </c>
    </row>
    <row r="19" customFormat="false" ht="15" hidden="false" customHeight="false" outlineLevel="0" collapsed="false">
      <c r="A19" s="63"/>
      <c r="B19" s="63"/>
      <c r="C19" s="63"/>
      <c r="D19" s="63"/>
      <c r="E19" s="63"/>
      <c r="F19" s="63"/>
      <c r="G19" s="63"/>
    </row>
    <row r="20" customFormat="false" ht="15" hidden="false" customHeight="false" outlineLevel="0" collapsed="false">
      <c r="A20" s="63" t="s">
        <v>197</v>
      </c>
      <c r="B20" s="67"/>
      <c r="C20" s="67" t="n">
        <f aca="false">C15*B$8</f>
        <v>191.07354</v>
      </c>
      <c r="D20" s="67" t="n">
        <f aca="false">D15*C$8</f>
        <v>202.31316</v>
      </c>
      <c r="E20" s="67" t="n">
        <f aca="false">E15*D$8</f>
        <v>213.179062635</v>
      </c>
      <c r="F20" s="67" t="n">
        <f aca="false">F15*E$8</f>
        <v>221.7062251404</v>
      </c>
      <c r="G20" s="67" t="n">
        <f aca="false">G15*F$8</f>
        <v>227.56953026808</v>
      </c>
    </row>
    <row r="21" customFormat="false" ht="15" hidden="false" customHeight="false" outlineLevel="0" collapsed="false">
      <c r="A21" s="63" t="s">
        <v>198</v>
      </c>
      <c r="B21" s="67"/>
      <c r="C21" s="67" t="n">
        <f aca="false">C16*B$9</f>
        <v>33.439</v>
      </c>
      <c r="D21" s="67" t="n">
        <f aca="false">D16*C$9</f>
        <v>36.11412</v>
      </c>
      <c r="E21" s="67" t="n">
        <f aca="false">E16*D$9</f>
        <v>39.2640738</v>
      </c>
      <c r="F21" s="67" t="n">
        <f aca="false">F16*E$9</f>
        <v>41.7191116776</v>
      </c>
      <c r="G21" s="67" t="n">
        <f aca="false">G16*F$9</f>
        <v>43.8476377836</v>
      </c>
    </row>
    <row r="22" customFormat="false" ht="15" hidden="false" customHeight="false" outlineLevel="0" collapsed="false">
      <c r="A22" s="68" t="s">
        <v>199</v>
      </c>
      <c r="B22" s="69"/>
      <c r="C22" s="69" t="n">
        <f aca="false">SUM(C20:C21)</f>
        <v>224.51254</v>
      </c>
      <c r="D22" s="69" t="n">
        <f aca="false">SUM(D20:D21)</f>
        <v>238.42728</v>
      </c>
      <c r="E22" s="69" t="n">
        <f aca="false">SUM(E20:E21)</f>
        <v>252.443136435</v>
      </c>
      <c r="F22" s="69" t="n">
        <f aca="false">SUM(F20:F21)</f>
        <v>263.425336818</v>
      </c>
      <c r="G22" s="69" t="n">
        <f aca="false">SUM(G20:G21)</f>
        <v>271.41716805168</v>
      </c>
    </row>
    <row r="23" customFormat="false" ht="15" hidden="false" customHeight="false" outlineLevel="0" collapsed="false">
      <c r="A23" s="68" t="s">
        <v>200</v>
      </c>
      <c r="B23" s="71"/>
      <c r="C23" s="71" t="n">
        <f aca="false">C22/C17</f>
        <v>0.11230905525597</v>
      </c>
      <c r="D23" s="71" t="n">
        <f aca="false">D22/D17</f>
        <v>0.114232475777485</v>
      </c>
      <c r="E23" s="71" t="n">
        <f aca="false">E22/E17</f>
        <v>0.116059594663775</v>
      </c>
      <c r="F23" s="71" t="n">
        <f aca="false">F22/F17</f>
        <v>0.116663741451039</v>
      </c>
      <c r="G23" s="71" t="n">
        <f aca="false">G22/G17</f>
        <v>0.116244135345109</v>
      </c>
    </row>
    <row r="25" customFormat="false" ht="15" hidden="false" customHeight="false" outlineLevel="0" collapsed="false">
      <c r="A25" s="60" t="s">
        <v>201</v>
      </c>
      <c r="B25" s="60"/>
      <c r="C25" s="60"/>
      <c r="D25" s="60"/>
      <c r="E25" s="60"/>
      <c r="F25" s="60"/>
      <c r="G25" s="60"/>
    </row>
    <row r="26" customFormat="false" ht="15" hidden="false" customHeight="false" outlineLevel="0" collapsed="false">
      <c r="A26" s="0" t="s">
        <v>202</v>
      </c>
      <c r="C26" s="72" t="n">
        <f aca="false">C17-SUM(C15:C16)</f>
        <v>0</v>
      </c>
      <c r="D26" s="72" t="n">
        <f aca="false">D17-SUM(D15:D16)</f>
        <v>0</v>
      </c>
      <c r="E26" s="72" t="n">
        <f aca="false">E17-SUM(E15:E16)</f>
        <v>0</v>
      </c>
      <c r="F26" s="72" t="n">
        <f aca="false">F17-SUM(F15:F16)</f>
        <v>0</v>
      </c>
      <c r="G26" s="72" t="n">
        <f aca="false">G17-SUM(G15:G16)</f>
        <v>0</v>
      </c>
    </row>
    <row r="27" customFormat="false" ht="15" hidden="false" customHeight="false" outlineLevel="0" collapsed="false">
      <c r="A27" s="0" t="s">
        <v>203</v>
      </c>
      <c r="C27" s="72" t="n">
        <f aca="false">C22-SUM(C20:C21)</f>
        <v>0</v>
      </c>
      <c r="D27" s="72" t="n">
        <f aca="false">D22-SUM(D20:D21)</f>
        <v>0</v>
      </c>
      <c r="E27" s="72" t="n">
        <f aca="false">E22-SUM(E20:E21)</f>
        <v>0</v>
      </c>
      <c r="F27" s="72" t="n">
        <f aca="false">F22-SUM(F20:F21)</f>
        <v>0</v>
      </c>
      <c r="G27" s="72" t="n">
        <f aca="false">G22-SUM(G20:G21)</f>
        <v>0</v>
      </c>
    </row>
    <row r="30" customFormat="false" ht="22" hidden="false" customHeight="true" outlineLevel="0" collapsed="false">
      <c r="A30" s="73" t="s">
        <v>204</v>
      </c>
      <c r="B30" s="73"/>
      <c r="C30" s="73"/>
      <c r="D30" s="73"/>
      <c r="E30" s="73"/>
      <c r="F30" s="73"/>
    </row>
    <row r="31" customFormat="false" ht="20" hidden="false" customHeight="true" outlineLevel="0" collapsed="false">
      <c r="A31" s="74" t="s">
        <v>191</v>
      </c>
      <c r="B31" s="75" t="s">
        <v>205</v>
      </c>
      <c r="C31" s="75" t="s">
        <v>206</v>
      </c>
      <c r="D31" s="75" t="s">
        <v>207</v>
      </c>
      <c r="E31" s="75" t="s">
        <v>208</v>
      </c>
      <c r="F31" s="76" t="s">
        <v>192</v>
      </c>
    </row>
    <row r="32" customFormat="false" ht="15" hidden="false" customHeight="false" outlineLevel="0" collapsed="false">
      <c r="A32" s="77" t="s">
        <v>35</v>
      </c>
      <c r="B32" s="78" t="n">
        <f aca="false">Statements!D8</f>
        <v>1320.4</v>
      </c>
      <c r="C32" s="78" t="n">
        <f aca="false">Statements!E8</f>
        <v>1580.7</v>
      </c>
      <c r="D32" s="78" t="n">
        <f aca="false">Statements!F8</f>
        <v>1912.1</v>
      </c>
      <c r="E32" s="78" t="n">
        <f aca="false">Statements!G8</f>
        <v>1931.6</v>
      </c>
      <c r="F32" s="79" t="n">
        <f aca="false">Statements!H8</f>
        <v>1922.6</v>
      </c>
    </row>
    <row r="33" customFormat="false" ht="23.85" hidden="false" customHeight="false" outlineLevel="0" collapsed="false">
      <c r="A33" s="77" t="s">
        <v>209</v>
      </c>
      <c r="B33" s="80" t="n">
        <v>52.1</v>
      </c>
      <c r="C33" s="80" t="n">
        <v>59</v>
      </c>
      <c r="D33" s="80" t="n">
        <v>65.5</v>
      </c>
      <c r="E33" s="80" t="n">
        <v>86.3</v>
      </c>
      <c r="F33" s="81" t="n">
        <v>96.5</v>
      </c>
    </row>
    <row r="34" customFormat="false" ht="15" hidden="false" customHeight="false" outlineLevel="0" collapsed="false">
      <c r="A34" s="77" t="s">
        <v>210</v>
      </c>
      <c r="B34" s="82" t="n">
        <f aca="false">B33/B32</f>
        <v>0.039457740078764</v>
      </c>
      <c r="C34" s="82" t="n">
        <f aca="false">C33/C32</f>
        <v>0.0373252356550895</v>
      </c>
      <c r="D34" s="82" t="n">
        <f aca="false">D33/D32</f>
        <v>0.0342555305684849</v>
      </c>
      <c r="E34" s="82" t="n">
        <f aca="false">E33/E32</f>
        <v>0.0446779871609029</v>
      </c>
      <c r="F34" s="83" t="n">
        <f aca="false">F33/F32</f>
        <v>0.0501924477270363</v>
      </c>
    </row>
    <row r="35" customFormat="false" ht="15" hidden="false" customHeight="false" outlineLevel="0" collapsed="false">
      <c r="A35" s="77" t="s">
        <v>211</v>
      </c>
      <c r="B35" s="84" t="n">
        <f aca="false">-Statements!D43</f>
        <v>84.3</v>
      </c>
      <c r="C35" s="84" t="n">
        <f aca="false">-Statements!E43</f>
        <v>109</v>
      </c>
      <c r="D35" s="84" t="n">
        <f aca="false">-Statements!F43</f>
        <v>96.3</v>
      </c>
      <c r="E35" s="84" t="n">
        <f aca="false">-Statements!G43</f>
        <v>108.8</v>
      </c>
      <c r="F35" s="85" t="n">
        <f aca="false">-Statements!H43</f>
        <v>72.5</v>
      </c>
    </row>
    <row r="36" customFormat="false" ht="15" hidden="false" customHeight="false" outlineLevel="0" collapsed="false">
      <c r="A36" s="77" t="s">
        <v>212</v>
      </c>
      <c r="B36" s="82" t="n">
        <f aca="false">B35/B32</f>
        <v>0.0638442896092093</v>
      </c>
      <c r="C36" s="82" t="n">
        <f aca="false">C35/C32</f>
        <v>0.0689567912949959</v>
      </c>
      <c r="D36" s="82" t="n">
        <f aca="false">D35/D32</f>
        <v>0.0503634747136656</v>
      </c>
      <c r="E36" s="82" t="n">
        <f aca="false">E35/E32</f>
        <v>0.0563263615655415</v>
      </c>
      <c r="F36" s="83" t="n">
        <f aca="false">F35/F32</f>
        <v>0.037709351919276</v>
      </c>
    </row>
    <row r="37" customFormat="false" ht="15" hidden="false" customHeight="false" outlineLevel="0" collapsed="false">
      <c r="A37" s="77" t="s">
        <v>213</v>
      </c>
      <c r="B37" s="84" t="n">
        <f aca="false">Statements!D40</f>
        <v>22</v>
      </c>
      <c r="C37" s="84" t="n">
        <f aca="false">Statements!E40</f>
        <v>-7.7</v>
      </c>
      <c r="D37" s="84" t="n">
        <f aca="false">Statements!F40</f>
        <v>9.8</v>
      </c>
      <c r="E37" s="84" t="n">
        <f aca="false">Statements!G40</f>
        <v>49.8</v>
      </c>
      <c r="F37" s="85" t="n">
        <f aca="false">Statements!H40</f>
        <v>-15.5</v>
      </c>
    </row>
    <row r="38" customFormat="false" ht="15" hidden="false" customHeight="false" outlineLevel="0" collapsed="false">
      <c r="A38" s="77" t="s">
        <v>214</v>
      </c>
      <c r="B38" s="80" t="n">
        <v>20</v>
      </c>
      <c r="C38" s="80" t="n">
        <v>30.2</v>
      </c>
      <c r="D38" s="80" t="n">
        <v>36.9</v>
      </c>
      <c r="E38" s="80" t="n">
        <v>48.6</v>
      </c>
      <c r="F38" s="81" t="n">
        <v>44.4</v>
      </c>
    </row>
    <row r="39" customFormat="false" ht="15" hidden="false" customHeight="false" outlineLevel="0" collapsed="false">
      <c r="A39" s="86" t="s">
        <v>215</v>
      </c>
      <c r="B39" s="87" t="n">
        <v>0.169</v>
      </c>
      <c r="C39" s="87" t="n">
        <v>0.194</v>
      </c>
      <c r="D39" s="87" t="n">
        <v>0.253</v>
      </c>
      <c r="E39" s="87" t="n">
        <v>0.26</v>
      </c>
      <c r="F39" s="88" t="n">
        <v>0.266</v>
      </c>
    </row>
    <row r="40" customFormat="false" ht="15" hidden="false" customHeight="false" outlineLevel="0" collapsed="false">
      <c r="A40" s="89"/>
      <c r="B40" s="90"/>
      <c r="C40" s="90"/>
      <c r="D40" s="90"/>
      <c r="E40" s="90"/>
      <c r="F40" s="90"/>
    </row>
    <row r="41" customFormat="false" ht="30" hidden="false" customHeight="true" outlineLevel="0" collapsed="false">
      <c r="A41" s="91" t="s">
        <v>216</v>
      </c>
      <c r="B41" s="91"/>
      <c r="C41" s="91"/>
      <c r="D41" s="91"/>
      <c r="E41" s="91"/>
      <c r="F41" s="91"/>
    </row>
    <row r="42" customFormat="false" ht="15" hidden="false" customHeight="false" outlineLevel="0" collapsed="false">
      <c r="A42" s="89"/>
      <c r="B42" s="90"/>
      <c r="C42" s="90"/>
      <c r="D42" s="90"/>
      <c r="E42" s="90"/>
      <c r="F42" s="90"/>
    </row>
    <row r="43" customFormat="false" ht="22" hidden="false" customHeight="true" outlineLevel="0" collapsed="false">
      <c r="A43" s="73" t="s">
        <v>217</v>
      </c>
      <c r="B43" s="73"/>
      <c r="C43" s="73"/>
      <c r="D43" s="73"/>
      <c r="E43" s="73"/>
      <c r="F43" s="73"/>
    </row>
    <row r="44" customFormat="false" ht="20" hidden="false" customHeight="true" outlineLevel="0" collapsed="false">
      <c r="A44" s="74" t="s">
        <v>179</v>
      </c>
      <c r="B44" s="92" t="s">
        <v>180</v>
      </c>
      <c r="C44" s="92" t="s">
        <v>181</v>
      </c>
      <c r="D44" s="92" t="s">
        <v>182</v>
      </c>
      <c r="E44" s="92" t="s">
        <v>183</v>
      </c>
      <c r="F44" s="93" t="s">
        <v>184</v>
      </c>
    </row>
    <row r="45" customFormat="false" ht="15" hidden="false" customHeight="false" outlineLevel="0" collapsed="false">
      <c r="A45" s="77" t="s">
        <v>218</v>
      </c>
      <c r="B45" s="94" t="n">
        <v>0.265</v>
      </c>
      <c r="C45" s="94" t="n">
        <v>0.265</v>
      </c>
      <c r="D45" s="94" t="n">
        <v>0.265</v>
      </c>
      <c r="E45" s="94" t="n">
        <v>0.265</v>
      </c>
      <c r="F45" s="95" t="n">
        <v>0.265</v>
      </c>
    </row>
    <row r="46" customFormat="false" ht="15" hidden="false" customHeight="false" outlineLevel="0" collapsed="false">
      <c r="A46" s="77" t="s">
        <v>219</v>
      </c>
      <c r="B46" s="94" t="n">
        <v>0.05</v>
      </c>
      <c r="C46" s="94" t="n">
        <v>0.05</v>
      </c>
      <c r="D46" s="94" t="n">
        <v>0.05</v>
      </c>
      <c r="E46" s="94" t="n">
        <v>0.05</v>
      </c>
      <c r="F46" s="95" t="n">
        <v>0.05</v>
      </c>
    </row>
    <row r="47" customFormat="false" ht="15" hidden="false" customHeight="false" outlineLevel="0" collapsed="false">
      <c r="A47" s="77" t="s">
        <v>212</v>
      </c>
      <c r="B47" s="94" t="n">
        <v>0.045</v>
      </c>
      <c r="C47" s="94" t="n">
        <v>0.045</v>
      </c>
      <c r="D47" s="94" t="n">
        <v>0.045</v>
      </c>
      <c r="E47" s="94" t="n">
        <v>0.045</v>
      </c>
      <c r="F47" s="95" t="n">
        <v>0.045</v>
      </c>
    </row>
    <row r="48" customFormat="false" ht="15" hidden="false" customHeight="false" outlineLevel="0" collapsed="false">
      <c r="A48" s="86" t="s">
        <v>220</v>
      </c>
      <c r="B48" s="87" t="n">
        <v>0.01</v>
      </c>
      <c r="C48" s="87" t="n">
        <v>0.01</v>
      </c>
      <c r="D48" s="87" t="n">
        <v>0.01</v>
      </c>
      <c r="E48" s="87" t="n">
        <v>0.01</v>
      </c>
      <c r="F48" s="88" t="n">
        <v>0.01</v>
      </c>
    </row>
    <row r="49" customFormat="false" ht="15" hidden="false" customHeight="false" outlineLevel="0" collapsed="false">
      <c r="A49" s="89"/>
      <c r="B49" s="90"/>
      <c r="C49" s="90"/>
      <c r="D49" s="90"/>
      <c r="E49" s="90"/>
      <c r="F49" s="90"/>
    </row>
    <row r="50" customFormat="false" ht="30" hidden="false" customHeight="true" outlineLevel="0" collapsed="false">
      <c r="A50" s="96" t="s">
        <v>221</v>
      </c>
      <c r="B50" s="96"/>
      <c r="C50" s="96"/>
      <c r="D50" s="96"/>
      <c r="E50" s="96"/>
      <c r="F50" s="96"/>
    </row>
    <row r="51" customFormat="false" ht="15" hidden="false" customHeight="false" outlineLevel="0" collapsed="false">
      <c r="A51" s="89"/>
      <c r="B51" s="90"/>
      <c r="C51" s="90"/>
      <c r="D51" s="90"/>
      <c r="E51" s="90"/>
      <c r="F51" s="90"/>
    </row>
    <row r="52" customFormat="false" ht="22" hidden="false" customHeight="true" outlineLevel="0" collapsed="false">
      <c r="A52" s="73" t="s">
        <v>222</v>
      </c>
      <c r="B52" s="73"/>
      <c r="C52" s="73"/>
      <c r="D52" s="73"/>
      <c r="E52" s="73"/>
      <c r="F52" s="73"/>
    </row>
    <row r="53" customFormat="false" ht="20" hidden="false" customHeight="true" outlineLevel="0" collapsed="false">
      <c r="A53" s="74" t="s">
        <v>191</v>
      </c>
      <c r="B53" s="92" t="s">
        <v>180</v>
      </c>
      <c r="C53" s="92" t="s">
        <v>181</v>
      </c>
      <c r="D53" s="92" t="s">
        <v>182</v>
      </c>
      <c r="E53" s="92" t="s">
        <v>183</v>
      </c>
      <c r="F53" s="93" t="s">
        <v>184</v>
      </c>
    </row>
    <row r="54" customFormat="false" ht="15" hidden="false" customHeight="false" outlineLevel="0" collapsed="false">
      <c r="A54" s="77" t="s">
        <v>35</v>
      </c>
      <c r="B54" s="84" t="n">
        <f aca="false">C17</f>
        <v>1999.06</v>
      </c>
      <c r="C54" s="84" t="n">
        <f aca="false">D17</f>
        <v>2087.211</v>
      </c>
      <c r="D54" s="84" t="n">
        <f aca="false">E17</f>
        <v>2175.116475</v>
      </c>
      <c r="E54" s="84" t="n">
        <f aca="false">F17</f>
        <v>2257.9880736</v>
      </c>
      <c r="F54" s="85" t="n">
        <f aca="false">G17</f>
        <v>2334.88913007</v>
      </c>
    </row>
    <row r="55" customFormat="false" ht="15" hidden="false" customHeight="false" outlineLevel="0" collapsed="false">
      <c r="A55" s="77" t="s">
        <v>223</v>
      </c>
      <c r="B55" s="84" t="n">
        <f aca="false">C22</f>
        <v>224.51254</v>
      </c>
      <c r="C55" s="84" t="n">
        <f aca="false">D22</f>
        <v>238.42728</v>
      </c>
      <c r="D55" s="84" t="n">
        <f aca="false">E22</f>
        <v>252.443136435</v>
      </c>
      <c r="E55" s="84" t="n">
        <f aca="false">F22</f>
        <v>263.425336818</v>
      </c>
      <c r="F55" s="85" t="n">
        <f aca="false">G22</f>
        <v>271.41716805168</v>
      </c>
    </row>
    <row r="56" customFormat="false" ht="15" hidden="false" customHeight="false" outlineLevel="0" collapsed="false">
      <c r="A56" s="77" t="s">
        <v>218</v>
      </c>
      <c r="B56" s="82" t="n">
        <f aca="false">B45</f>
        <v>0.265</v>
      </c>
      <c r="C56" s="82" t="n">
        <f aca="false">C45</f>
        <v>0.265</v>
      </c>
      <c r="D56" s="82" t="n">
        <f aca="false">D45</f>
        <v>0.265</v>
      </c>
      <c r="E56" s="82" t="n">
        <f aca="false">E45</f>
        <v>0.265</v>
      </c>
      <c r="F56" s="83" t="n">
        <f aca="false">F45</f>
        <v>0.265</v>
      </c>
    </row>
    <row r="57" customFormat="false" ht="15" hidden="false" customHeight="false" outlineLevel="0" collapsed="false">
      <c r="A57" s="77" t="s">
        <v>224</v>
      </c>
      <c r="B57" s="84" t="n">
        <f aca="false">B55*(1-B56)</f>
        <v>165.0167169</v>
      </c>
      <c r="C57" s="84" t="n">
        <f aca="false">C55*(1-C56)</f>
        <v>175.2440508</v>
      </c>
      <c r="D57" s="84" t="n">
        <f aca="false">D55*(1-D56)</f>
        <v>185.545705279725</v>
      </c>
      <c r="E57" s="84" t="n">
        <f aca="false">E55*(1-E56)</f>
        <v>193.61762256123</v>
      </c>
      <c r="F57" s="85" t="n">
        <f aca="false">F55*(1-F56)</f>
        <v>199.491618517985</v>
      </c>
    </row>
    <row r="58" customFormat="false" ht="15" hidden="false" customHeight="false" outlineLevel="0" collapsed="false">
      <c r="A58" s="77" t="s">
        <v>225</v>
      </c>
      <c r="B58" s="84" t="n">
        <f aca="false">B54*B46</f>
        <v>99.953</v>
      </c>
      <c r="C58" s="84" t="n">
        <f aca="false">C54*C46</f>
        <v>104.36055</v>
      </c>
      <c r="D58" s="84" t="n">
        <f aca="false">D54*D46</f>
        <v>108.75582375</v>
      </c>
      <c r="E58" s="84" t="n">
        <f aca="false">E54*E46</f>
        <v>112.89940368</v>
      </c>
      <c r="F58" s="85" t="n">
        <f aca="false">F54*F46</f>
        <v>116.7444565035</v>
      </c>
    </row>
    <row r="59" customFormat="false" ht="15" hidden="false" customHeight="false" outlineLevel="0" collapsed="false">
      <c r="A59" s="77" t="s">
        <v>108</v>
      </c>
      <c r="B59" s="84" t="n">
        <f aca="false">-B54*B47</f>
        <v>-89.9577</v>
      </c>
      <c r="C59" s="84" t="n">
        <f aca="false">-C54*C47</f>
        <v>-93.924495</v>
      </c>
      <c r="D59" s="84" t="n">
        <f aca="false">-D54*D47</f>
        <v>-97.880241375</v>
      </c>
      <c r="E59" s="84" t="n">
        <f aca="false">-E54*E47</f>
        <v>-101.609463312</v>
      </c>
      <c r="F59" s="85" t="n">
        <f aca="false">-F54*F47</f>
        <v>-105.07001085315</v>
      </c>
    </row>
    <row r="60" customFormat="false" ht="15" hidden="false" customHeight="false" outlineLevel="0" collapsed="false">
      <c r="A60" s="77" t="s">
        <v>226</v>
      </c>
      <c r="B60" s="84" t="n">
        <f aca="false">-(C17-B17)*B48</f>
        <v>-0.7646</v>
      </c>
      <c r="C60" s="84" t="n">
        <f aca="false">-(D17-C17)*C48</f>
        <v>-0.881510000000003</v>
      </c>
      <c r="D60" s="84" t="n">
        <f aca="false">-(E17-D17)*D48</f>
        <v>-0.87905475</v>
      </c>
      <c r="E60" s="84" t="n">
        <f aca="false">-(F17-E17)*E48</f>
        <v>-0.828715985999997</v>
      </c>
      <c r="F60" s="85" t="n">
        <f aca="false">-(G17-F17)*F48</f>
        <v>-0.769010564699997</v>
      </c>
    </row>
    <row r="61" customFormat="false" ht="15" hidden="false" customHeight="false" outlineLevel="0" collapsed="false">
      <c r="A61" s="97" t="s">
        <v>227</v>
      </c>
      <c r="B61" s="98" t="n">
        <f aca="false">SUM(B57:B60)</f>
        <v>174.2474169</v>
      </c>
      <c r="C61" s="98" t="n">
        <f aca="false">SUM(C57:C60)</f>
        <v>184.7985958</v>
      </c>
      <c r="D61" s="98" t="n">
        <f aca="false">SUM(D57:D60)</f>
        <v>195.542232904725</v>
      </c>
      <c r="E61" s="98" t="n">
        <f aca="false">SUM(E57:E60)</f>
        <v>204.07884694323</v>
      </c>
      <c r="F61" s="99" t="n">
        <f aca="false">SUM(F57:F60)</f>
        <v>210.397053603635</v>
      </c>
    </row>
    <row r="62" customFormat="false" ht="15" hidden="false" customHeight="false" outlineLevel="0" collapsed="false">
      <c r="A62" s="89"/>
      <c r="B62" s="90"/>
      <c r="C62" s="90"/>
      <c r="D62" s="90"/>
      <c r="E62" s="90"/>
      <c r="F62" s="90"/>
    </row>
    <row r="63" customFormat="false" ht="15" hidden="false" customHeight="false" outlineLevel="0" collapsed="false">
      <c r="A63" s="100" t="s">
        <v>228</v>
      </c>
      <c r="B63" s="101" t="n">
        <f aca="false">SUM(B61:D61)</f>
        <v>554.588245604725</v>
      </c>
      <c r="C63" s="90"/>
      <c r="D63" s="90"/>
      <c r="E63" s="90"/>
      <c r="F63" s="90"/>
    </row>
    <row r="64" customFormat="false" ht="15" hidden="false" customHeight="false" outlineLevel="0" collapsed="false">
      <c r="A64" s="102" t="s">
        <v>229</v>
      </c>
      <c r="B64" s="103" t="n">
        <v>550</v>
      </c>
      <c r="C64" s="90"/>
      <c r="D64" s="90"/>
      <c r="E64" s="90"/>
      <c r="F64" s="90"/>
    </row>
    <row r="65" customFormat="false" ht="15" hidden="false" customHeight="false" outlineLevel="0" collapsed="false">
      <c r="A65" s="104" t="s">
        <v>230</v>
      </c>
      <c r="B65" s="105" t="n">
        <f aca="false">B63-B64</f>
        <v>4.58824560472499</v>
      </c>
      <c r="C65" s="90"/>
      <c r="D65" s="90"/>
      <c r="E65" s="90"/>
      <c r="F65" s="90"/>
    </row>
    <row r="66" customFormat="false" ht="30" hidden="false" customHeight="true" outlineLevel="0" collapsed="false">
      <c r="A66" s="106" t="s">
        <v>231</v>
      </c>
      <c r="B66" s="107" t="s">
        <v>232</v>
      </c>
      <c r="C66" s="107"/>
      <c r="D66" s="107"/>
      <c r="E66" s="107"/>
      <c r="F66" s="107"/>
    </row>
  </sheetData>
  <mergeCells count="12">
    <mergeCell ref="A1:G1"/>
    <mergeCell ref="A2:G2"/>
    <mergeCell ref="A4:F4"/>
    <mergeCell ref="A11:G11"/>
    <mergeCell ref="A13:G13"/>
    <mergeCell ref="A25:G25"/>
    <mergeCell ref="A30:F30"/>
    <mergeCell ref="A41:F41"/>
    <mergeCell ref="A43:F43"/>
    <mergeCell ref="A50:F50"/>
    <mergeCell ref="A52:F52"/>
    <mergeCell ref="B66:F6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